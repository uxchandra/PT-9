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van\Downloads\"/>
    </mc:Choice>
  </mc:AlternateContent>
  <bookViews>
    <workbookView xWindow="0" yWindow="0" windowWidth="20490" windowHeight="7530" activeTab="2"/>
  </bookViews>
  <sheets>
    <sheet name="Sheet1" sheetId="1" r:id="rId1"/>
    <sheet name="1" sheetId="2" r:id="rId2"/>
    <sheet name="Heijunka Tandem 9 ke FG" sheetId="3" r:id="rId3"/>
  </sheets>
  <definedNames>
    <definedName name="_xlnm._FilterDatabase" localSheetId="2" hidden="1">'Heijunka Tandem 9 ke FG'!$B$3:$B$46</definedName>
    <definedName name="_xlnm.Print_Area" localSheetId="1">'1'!$A$1:$Q$42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3" l="1"/>
  <c r="G60" i="3" s="1"/>
  <c r="H60" i="3" l="1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AH60" i="3"/>
  <c r="AI60" i="3"/>
  <c r="AK60" i="3"/>
  <c r="AL60" i="3"/>
  <c r="AN60" i="3"/>
  <c r="AP60" i="3"/>
  <c r="AQ60" i="3"/>
  <c r="AR60" i="3"/>
  <c r="AT60" i="3"/>
  <c r="AU60" i="3"/>
  <c r="AV60" i="3"/>
  <c r="AX60" i="3"/>
  <c r="AY60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AH48" i="3"/>
  <c r="AI48" i="3"/>
  <c r="AJ48" i="3"/>
  <c r="AJ60" i="3" s="1"/>
  <c r="AK48" i="3"/>
  <c r="AL48" i="3"/>
  <c r="AM48" i="3"/>
  <c r="AM60" i="3" s="1"/>
  <c r="AN48" i="3"/>
  <c r="AO48" i="3"/>
  <c r="AO60" i="3" s="1"/>
  <c r="AP48" i="3"/>
  <c r="AQ48" i="3"/>
  <c r="AR48" i="3"/>
  <c r="AS48" i="3"/>
  <c r="AS60" i="3" s="1"/>
  <c r="AT48" i="3"/>
  <c r="AU48" i="3"/>
  <c r="AV48" i="3"/>
  <c r="AW48" i="3"/>
  <c r="AW60" i="3" s="1"/>
  <c r="AX48" i="3"/>
  <c r="AY48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51" i="3"/>
  <c r="AZ52" i="3"/>
  <c r="AZ53" i="3"/>
  <c r="AZ54" i="3"/>
  <c r="AZ55" i="3"/>
  <c r="AZ56" i="3"/>
  <c r="AZ57" i="3"/>
  <c r="AZ58" i="3"/>
  <c r="C52" i="3"/>
  <c r="C53" i="3"/>
  <c r="C54" i="3"/>
  <c r="C55" i="3"/>
  <c r="C56" i="3"/>
  <c r="C57" i="3"/>
  <c r="C58" i="3"/>
  <c r="C51" i="3"/>
  <c r="B52" i="3"/>
  <c r="B53" i="3"/>
  <c r="B54" i="3"/>
  <c r="B55" i="3"/>
  <c r="B56" i="3"/>
  <c r="B57" i="3"/>
  <c r="B58" i="3"/>
  <c r="B51" i="3"/>
  <c r="C47" i="3"/>
  <c r="B47" i="3"/>
  <c r="Z47" i="3"/>
  <c r="Z42" i="3"/>
  <c r="Z43" i="3"/>
  <c r="Z41" i="3"/>
  <c r="C42" i="3"/>
  <c r="C43" i="3"/>
  <c r="C41" i="3"/>
  <c r="B42" i="3"/>
  <c r="B43" i="3"/>
  <c r="B41" i="3"/>
  <c r="G59" i="3"/>
  <c r="G48" i="3"/>
  <c r="G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22" i="3"/>
  <c r="G19" i="3"/>
  <c r="Z18" i="3"/>
  <c r="Z17" i="3"/>
  <c r="Z16" i="3"/>
  <c r="Z15" i="3"/>
  <c r="Z14" i="3"/>
  <c r="Z13" i="3"/>
  <c r="Z12" i="3"/>
  <c r="Z11" i="3"/>
  <c r="Z10" i="3"/>
  <c r="Z9" i="3"/>
  <c r="C10" i="3"/>
  <c r="C11" i="3"/>
  <c r="C12" i="3"/>
  <c r="C13" i="3"/>
  <c r="C14" i="3"/>
  <c r="C15" i="3"/>
  <c r="C16" i="3"/>
  <c r="C17" i="3"/>
  <c r="C18" i="3"/>
  <c r="C9" i="3"/>
  <c r="B10" i="3"/>
  <c r="B11" i="3"/>
  <c r="B12" i="3"/>
  <c r="B13" i="3"/>
  <c r="B14" i="3"/>
  <c r="B15" i="3"/>
  <c r="B16" i="3"/>
  <c r="B17" i="3"/>
  <c r="B18" i="3"/>
  <c r="B9" i="3"/>
  <c r="AI1" i="3"/>
  <c r="AH4" i="3"/>
  <c r="G4" i="3"/>
  <c r="H4" i="3" s="1"/>
  <c r="I4" i="3" s="1"/>
  <c r="J4" i="3" s="1"/>
  <c r="K4" i="3" s="1"/>
  <c r="L4" i="3" s="1"/>
  <c r="N4" i="3" s="1"/>
  <c r="F50" i="3"/>
  <c r="F21" i="3"/>
  <c r="F8" i="3"/>
  <c r="D21" i="3"/>
  <c r="D40" i="3"/>
  <c r="D46" i="3"/>
  <c r="D50" i="3"/>
  <c r="D8" i="3"/>
  <c r="E50" i="3"/>
  <c r="E46" i="3"/>
  <c r="E40" i="3"/>
  <c r="E21" i="3"/>
  <c r="E8" i="3"/>
  <c r="B67" i="3"/>
  <c r="AI4" i="3" l="1"/>
  <c r="AJ4" i="3" s="1"/>
  <c r="AK4" i="3" s="1"/>
  <c r="AL4" i="3" s="1"/>
  <c r="AM4" i="3" s="1"/>
  <c r="AN4" i="3" s="1"/>
  <c r="AO4" i="3" s="1"/>
  <c r="AQ4" i="3" s="1"/>
  <c r="AR4" i="3" s="1"/>
  <c r="AS4" i="3" s="1"/>
  <c r="AT4" i="3" s="1"/>
  <c r="AU4" i="3" s="1"/>
  <c r="O4" i="3"/>
  <c r="P4" i="3" s="1"/>
  <c r="Q4" i="3" s="1"/>
  <c r="AW4" i="3" l="1"/>
  <c r="AX4" i="3" s="1"/>
  <c r="AY4" i="3" s="1"/>
  <c r="AZ4" i="3" s="1"/>
  <c r="S4" i="3"/>
  <c r="T4" i="3" s="1"/>
  <c r="U4" i="3" s="1"/>
  <c r="V4" i="3" s="1"/>
  <c r="X4" i="3" l="1"/>
  <c r="Y4" i="3" s="1"/>
  <c r="Z4" i="3" s="1"/>
  <c r="AA4" i="3" s="1"/>
  <c r="AB4" i="3" s="1"/>
  <c r="AC4" i="3" s="1"/>
</calcChain>
</file>

<file path=xl/sharedStrings.xml><?xml version="1.0" encoding="utf-8"?>
<sst xmlns="http://schemas.openxmlformats.org/spreadsheetml/2006/main" count="335" uniqueCount="102">
  <si>
    <t>61674-BZ020</t>
  </si>
  <si>
    <t>FINISH GOODS</t>
  </si>
  <si>
    <t>61673-BZ020</t>
  </si>
  <si>
    <t>13-10681-A09</t>
  </si>
  <si>
    <t>GA241-06980</t>
  </si>
  <si>
    <t>61642-VT020</t>
  </si>
  <si>
    <t>GA251-24260</t>
  </si>
  <si>
    <t>57184-BZ030</t>
  </si>
  <si>
    <t>57183-BZ020</t>
  </si>
  <si>
    <t>67391-KK010</t>
  </si>
  <si>
    <t>B121-97515</t>
  </si>
  <si>
    <t>55114-VT020</t>
  </si>
  <si>
    <t>B121-97517</t>
  </si>
  <si>
    <t>57184-BZ020</t>
  </si>
  <si>
    <t>57183-BZ010</t>
  </si>
  <si>
    <t>57433-BZ020</t>
  </si>
  <si>
    <t>57434-BZ020</t>
  </si>
  <si>
    <t>61143-T86-K000-50</t>
  </si>
  <si>
    <t>B111-97510</t>
  </si>
  <si>
    <t>B113-97514</t>
  </si>
  <si>
    <t>65325-T86-K000-50</t>
  </si>
  <si>
    <t>64123-TG2-K000-H1</t>
  </si>
  <si>
    <t>67168-0K020</t>
  </si>
  <si>
    <t>67167-0K020</t>
  </si>
  <si>
    <t>B121-97514</t>
  </si>
  <si>
    <t>B114-97515</t>
  </si>
  <si>
    <t>B111-97511</t>
  </si>
  <si>
    <t>51321-BZ100</t>
  </si>
  <si>
    <t>65325-T86-X000-50</t>
  </si>
  <si>
    <t>61143-T86-X000-50</t>
  </si>
  <si>
    <t>B121-97512</t>
  </si>
  <si>
    <t>B114-97512</t>
  </si>
  <si>
    <t>B111-97505</t>
  </si>
  <si>
    <t>B122-97505</t>
  </si>
  <si>
    <t>33146-0K060</t>
  </si>
  <si>
    <t>B121-97518</t>
  </si>
  <si>
    <t>B121-97511</t>
  </si>
  <si>
    <t>B114-97511</t>
  </si>
  <si>
    <t>B111-97502</t>
  </si>
  <si>
    <t>B122-97504</t>
  </si>
  <si>
    <t>B121-97513</t>
  </si>
  <si>
    <t>51321-BZ110</t>
  </si>
  <si>
    <t>JJB03-001530</t>
  </si>
  <si>
    <r>
      <t xml:space="preserve">List  Part :  Line  Store  </t>
    </r>
    <r>
      <rPr>
        <b/>
        <sz val="22"/>
        <color theme="1"/>
        <rFont val="Calibri"/>
        <family val="2"/>
        <scheme val="minor"/>
      </rPr>
      <t>"Finish Goods"</t>
    </r>
  </si>
  <si>
    <t>CUSTOMER</t>
  </si>
  <si>
    <t>CYCLE ISSUE</t>
  </si>
  <si>
    <t>FTR</t>
  </si>
  <si>
    <t>TGIDN</t>
  </si>
  <si>
    <t>TMMIN</t>
  </si>
  <si>
    <t>ADM</t>
  </si>
  <si>
    <t>NTC</t>
  </si>
  <si>
    <t>GTIM</t>
  </si>
  <si>
    <t>F.SEAT</t>
  </si>
  <si>
    <t>JTEKT</t>
  </si>
  <si>
    <t>GM</t>
  </si>
  <si>
    <t>1-2-X</t>
  </si>
  <si>
    <t>1-4-X</t>
  </si>
  <si>
    <t>1-1-X</t>
  </si>
  <si>
    <t>1-5-X</t>
  </si>
  <si>
    <t>1-10-X</t>
  </si>
  <si>
    <t>PART NO</t>
  </si>
  <si>
    <t>NO</t>
  </si>
  <si>
    <t>DEL/DAY</t>
  </si>
  <si>
    <t>CYCLE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</si>
  <si>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</si>
  <si>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</si>
  <si>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</si>
  <si>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</si>
  <si>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</si>
  <si>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</si>
  <si>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</si>
  <si>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</si>
  <si>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</si>
  <si>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</si>
  <si>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1-5-x</t>
  </si>
  <si>
    <t>ADM/TMN</t>
  </si>
  <si>
    <t>Order Terbanyak percycle</t>
  </si>
  <si>
    <t>time puling</t>
  </si>
  <si>
    <t>30 menit</t>
  </si>
  <si>
    <t>Working hour</t>
  </si>
  <si>
    <t>2 x 8 jam</t>
  </si>
  <si>
    <t>Cycle</t>
  </si>
  <si>
    <t>cycle shift</t>
  </si>
  <si>
    <t>cycle per day</t>
  </si>
  <si>
    <t>cycle shift (bulat)</t>
  </si>
  <si>
    <t>Cyc-1</t>
  </si>
  <si>
    <t>Cyc-2</t>
  </si>
  <si>
    <t xml:space="preserve"> </t>
  </si>
  <si>
    <t>Cycl-3</t>
  </si>
  <si>
    <t>Cyc-4</t>
  </si>
  <si>
    <t>Cyc-5</t>
  </si>
  <si>
    <t>Cyc-6</t>
  </si>
  <si>
    <t>Cyc-3</t>
  </si>
  <si>
    <t>Cyc-7</t>
  </si>
  <si>
    <t>Cyc-8</t>
  </si>
  <si>
    <t>Cyc-9</t>
  </si>
  <si>
    <t>Cyc-10</t>
  </si>
  <si>
    <t>Kbn per Cycle</t>
  </si>
  <si>
    <t>x</t>
  </si>
  <si>
    <t>SUB. TOTAL KBN</t>
  </si>
  <si>
    <t>TOTAL KBN/Cycle Pulling</t>
  </si>
  <si>
    <t>RANDOM NUMBER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</si>
</sst>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8" xfId="0" applyBorder="1"/>
    <xf numFmtId="0" fontId="0" fillId="0" borderId="2" xfId="0" applyBorder="1"/>
    <xf numFmtId="0" fontId="0" fillId="0" borderId="9" xfId="0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ill="1"/>
    <xf numFmtId="20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0" borderId="10" xfId="0" applyFill="1" applyBorder="1" applyAlignment="1">
      <alignment horizontal="left"/>
    </xf>
    <xf numFmtId="20" fontId="0" fillId="0" borderId="1" xfId="0" applyNumberFormat="1" applyBorder="1" applyAlignment="1">
      <alignment horizontal="left"/>
    </xf>
    <xf numFmtId="20" fontId="0" fillId="4" borderId="1" xfId="0" applyNumberFormat="1" applyFill="1" applyBorder="1" applyAlignment="1">
      <alignment horizontal="left"/>
    </xf>
    <xf numFmtId="20" fontId="0" fillId="5" borderId="0" xfId="0" applyNumberFormat="1" applyFill="1" applyAlignment="1">
      <alignment horizontal="left"/>
    </xf>
    <xf numFmtId="0" fontId="0" fillId="0" borderId="0" xfId="0" applyBorder="1"/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Continuous"/>
    </xf>
    <xf numFmtId="0" fontId="4" fillId="7" borderId="1" xfId="0" applyFont="1" applyFill="1" applyBorder="1" applyAlignment="1">
      <alignment horizontal="centerContinuous"/>
    </xf>
    <xf numFmtId="0" fontId="0" fillId="7" borderId="1" xfId="0" applyFill="1" applyBorder="1"/>
    <xf numFmtId="0" fontId="0" fillId="7" borderId="1" xfId="0" applyFill="1" applyBorder="1" applyAlignment="1">
      <alignment horizontal="centerContinuous"/>
    </xf>
    <xf numFmtId="0" fontId="0" fillId="0" borderId="0" xfId="0" applyBorder="1" applyAlignment="1">
      <alignment vertical="center"/>
    </xf>
    <xf numFmtId="0" fontId="0" fillId="0" borderId="1" xfId="0" applyBorder="1" applyAlignment="1"/>
    <xf numFmtId="0" fontId="0" fillId="4" borderId="1" xfId="0" applyFill="1" applyBorder="1" applyAlignment="1"/>
    <xf numFmtId="0" fontId="4" fillId="7" borderId="1" xfId="0" applyFont="1" applyFill="1" applyBorder="1" applyAlignment="1"/>
    <xf numFmtId="0" fontId="0" fillId="7" borderId="1" xfId="0" applyFill="1" applyBorder="1" applyAlignment="1"/>
    <xf numFmtId="1" fontId="1" fillId="0" borderId="1" xfId="0" applyNumberFormat="1" applyFont="1" applyBorder="1" applyAlignment="1">
      <alignment horizontal="center" vertical="center"/>
    </xf>
    <xf numFmtId="0" fontId="0" fillId="8" borderId="1" xfId="0" applyFill="1" applyBorder="1" applyAlignment="1"/>
    <xf numFmtId="0" fontId="6" fillId="7" borderId="1" xfId="0" applyFont="1" applyFill="1" applyBorder="1" applyAlignment="1"/>
    <xf numFmtId="0" fontId="0" fillId="8" borderId="0" xfId="0" applyFill="1"/>
    <xf numFmtId="0" fontId="0" fillId="0" borderId="11" xfId="0" applyBorder="1"/>
    <xf numFmtId="0" fontId="4" fillId="7" borderId="10" xfId="0" applyFont="1" applyFill="1" applyBorder="1" applyAlignment="1">
      <alignment horizontal="centerContinuous"/>
    </xf>
    <xf numFmtId="0" fontId="1" fillId="6" borderId="8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4" borderId="2" xfId="0" applyFill="1" applyBorder="1" applyAlignment="1"/>
    <xf numFmtId="0" fontId="0" fillId="8" borderId="2" xfId="0" applyFill="1" applyBorder="1" applyAlignment="1"/>
    <xf numFmtId="0" fontId="0" fillId="4" borderId="13" xfId="0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0" xfId="0" applyFill="1"/>
    <xf numFmtId="0" fontId="0" fillId="2" borderId="0" xfId="0" applyFill="1" applyAlignment="1">
      <alignment horizontal="right"/>
    </xf>
    <xf numFmtId="0" fontId="6" fillId="7" borderId="19" xfId="0" applyFont="1" applyFill="1" applyBorder="1"/>
    <xf numFmtId="0" fontId="1" fillId="9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3" xfId="0" applyFill="1" applyBorder="1"/>
    <xf numFmtId="0" fontId="0" fillId="9" borderId="14" xfId="0" applyFill="1" applyBorder="1"/>
    <xf numFmtId="0" fontId="0" fillId="9" borderId="12" xfId="0" applyFill="1" applyBorder="1"/>
    <xf numFmtId="0" fontId="0" fillId="4" borderId="21" xfId="0" applyFill="1" applyBorder="1" applyAlignment="1">
      <alignment horizontal="left"/>
    </xf>
    <xf numFmtId="1" fontId="0" fillId="0" borderId="1" xfId="0" applyNumberFormat="1" applyBorder="1"/>
    <xf numFmtId="0" fontId="0" fillId="7" borderId="11" xfId="0" applyFill="1" applyBorder="1" applyAlignment="1">
      <alignment horizontal="centerContinuous"/>
    </xf>
    <xf numFmtId="0" fontId="0" fillId="7" borderId="10" xfId="0" applyFill="1" applyBorder="1" applyAlignment="1">
      <alignment horizontal="centerContinuous"/>
    </xf>
    <xf numFmtId="0" fontId="0" fillId="9" borderId="22" xfId="0" applyFill="1" applyBorder="1" applyAlignment="1">
      <alignment horizontal="left"/>
    </xf>
    <xf numFmtId="0" fontId="0" fillId="9" borderId="23" xfId="0" applyFill="1" applyBorder="1" applyAlignment="1">
      <alignment horizontal="left"/>
    </xf>
    <xf numFmtId="0" fontId="0" fillId="4" borderId="23" xfId="0" applyFill="1" applyBorder="1" applyAlignment="1">
      <alignment horizontal="left"/>
    </xf>
    <xf numFmtId="0" fontId="0" fillId="9" borderId="23" xfId="0" applyFill="1" applyBorder="1"/>
    <xf numFmtId="0" fontId="0" fillId="9" borderId="24" xfId="0" applyFill="1" applyBorder="1"/>
    <xf numFmtId="0" fontId="0" fillId="9" borderId="22" xfId="0" applyFill="1" applyBorder="1"/>
    <xf numFmtId="0" fontId="0" fillId="4" borderId="21" xfId="0" applyFill="1" applyBorder="1"/>
    <xf numFmtId="0" fontId="0" fillId="4" borderId="23" xfId="0" applyFill="1" applyBorder="1"/>
    <xf numFmtId="0" fontId="0" fillId="4" borderId="28" xfId="0" applyFill="1" applyBorder="1" applyAlignment="1">
      <alignment horizontal="left"/>
    </xf>
    <xf numFmtId="0" fontId="0" fillId="7" borderId="11" xfId="0" applyFill="1" applyBorder="1"/>
    <xf numFmtId="0" fontId="0" fillId="7" borderId="10" xfId="0" applyFill="1" applyBorder="1"/>
    <xf numFmtId="0" fontId="6" fillId="7" borderId="10" xfId="0" applyFont="1" applyFill="1" applyBorder="1" applyAlignment="1"/>
    <xf numFmtId="0" fontId="0" fillId="4" borderId="2" xfId="0" applyFill="1" applyBorder="1" applyAlignment="1">
      <alignment horizontal="left"/>
    </xf>
    <xf numFmtId="0" fontId="5" fillId="0" borderId="25" xfId="0" applyFont="1" applyBorder="1" applyAlignment="1">
      <alignment horizontal="centerContinuous"/>
    </xf>
    <xf numFmtId="0" fontId="5" fillId="0" borderId="26" xfId="0" applyFont="1" applyBorder="1" applyAlignment="1">
      <alignment horizontal="centerContinuous"/>
    </xf>
    <xf numFmtId="0" fontId="5" fillId="4" borderId="26" xfId="0" applyFont="1" applyFill="1" applyBorder="1" applyAlignment="1">
      <alignment horizontal="centerContinuous"/>
    </xf>
    <xf numFmtId="0" fontId="5" fillId="0" borderId="27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5" fillId="4" borderId="16" xfId="0" applyFont="1" applyFill="1" applyBorder="1" applyAlignment="1">
      <alignment horizontal="centerContinuous"/>
    </xf>
    <xf numFmtId="0" fontId="5" fillId="4" borderId="21" xfId="0" applyFont="1" applyFill="1" applyBorder="1" applyAlignment="1">
      <alignment horizontal="centerContinuous"/>
    </xf>
    <xf numFmtId="0" fontId="5" fillId="0" borderId="29" xfId="0" applyFont="1" applyBorder="1" applyAlignment="1">
      <alignment horizontal="centerContinuous"/>
    </xf>
    <xf numFmtId="0" fontId="5" fillId="4" borderId="30" xfId="0" applyFont="1" applyFill="1" applyBorder="1" applyAlignment="1">
      <alignment horizontal="centerContinuous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7</xdr:row>
      <xdr:rowOff>9524</xdr:rowOff>
    </xdr:from>
    <xdr:to>
      <xdr:col>18</xdr:col>
      <xdr:colOff>495300</xdr:colOff>
      <xdr:row>72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48BB58-169C-31D4-B054-C0EBEBFE82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13" b="11437"/>
        <a:stretch>
          <a:fillRect/>
        </a:stretch>
      </xdr:blipFill>
      <xdr:spPr>
        <a:xfrm>
          <a:off x="5562600" y="1343024"/>
          <a:ext cx="8572500" cy="12382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2"/>
  <sheetViews>
    <sheetView topLeftCell="A19" workbookViewId="0">
      <selection activeCell="E36" sqref="E36"/>
    </sheetView>
  </sheetViews>
  <sheetFormatPr defaultRowHeight="15" x14ac:dyDescent="0.25"/>
  <cols>
    <col min="2" max="2" width="19.5703125" customWidth="1"/>
    <col min="3" max="3" width="23.140625" customWidth="1"/>
    <col min="4" max="4" width="24.7109375" customWidth="1"/>
  </cols>
  <sheetData>
    <row r="2" spans="1:4" x14ac:dyDescent="0.25">
      <c r="A2">
        <v>1</v>
      </c>
      <c r="C2" s="1" t="s">
        <v>0</v>
      </c>
      <c r="D2" s="1" t="s">
        <v>1</v>
      </c>
    </row>
    <row r="3" spans="1:4" x14ac:dyDescent="0.25">
      <c r="A3">
        <v>2</v>
      </c>
      <c r="B3" s="1"/>
      <c r="C3" s="1" t="s">
        <v>2</v>
      </c>
      <c r="D3" s="1" t="s">
        <v>1</v>
      </c>
    </row>
    <row r="4" spans="1:4" x14ac:dyDescent="0.25">
      <c r="A4">
        <v>3</v>
      </c>
      <c r="C4" s="1" t="s">
        <v>3</v>
      </c>
      <c r="D4" s="1" t="s">
        <v>1</v>
      </c>
    </row>
    <row r="5" spans="1:4" x14ac:dyDescent="0.25">
      <c r="A5">
        <v>4</v>
      </c>
      <c r="C5" s="1" t="s">
        <v>4</v>
      </c>
      <c r="D5" s="1" t="s">
        <v>1</v>
      </c>
    </row>
    <row r="6" spans="1:4" x14ac:dyDescent="0.25">
      <c r="A6">
        <v>5</v>
      </c>
      <c r="C6" s="1" t="s">
        <v>5</v>
      </c>
      <c r="D6" s="1" t="s">
        <v>1</v>
      </c>
    </row>
    <row r="7" spans="1:4" x14ac:dyDescent="0.25">
      <c r="A7">
        <v>6</v>
      </c>
      <c r="C7" s="1" t="s">
        <v>6</v>
      </c>
      <c r="D7" s="1" t="s">
        <v>1</v>
      </c>
    </row>
    <row r="8" spans="1:4" x14ac:dyDescent="0.25">
      <c r="A8">
        <v>7</v>
      </c>
      <c r="B8" s="1"/>
      <c r="C8" s="1" t="s">
        <v>7</v>
      </c>
      <c r="D8" s="1" t="s">
        <v>1</v>
      </c>
    </row>
    <row r="9" spans="1:4" x14ac:dyDescent="0.25">
      <c r="A9">
        <v>8</v>
      </c>
      <c r="C9" s="1" t="s">
        <v>8</v>
      </c>
      <c r="D9" s="1" t="s">
        <v>1</v>
      </c>
    </row>
    <row r="10" spans="1:4" x14ac:dyDescent="0.25">
      <c r="A10">
        <v>9</v>
      </c>
      <c r="C10" s="1" t="s">
        <v>9</v>
      </c>
      <c r="D10" s="1" t="s">
        <v>1</v>
      </c>
    </row>
    <row r="11" spans="1:4" x14ac:dyDescent="0.25">
      <c r="A11">
        <v>10</v>
      </c>
      <c r="C11" s="1" t="s">
        <v>10</v>
      </c>
      <c r="D11" s="1" t="s">
        <v>1</v>
      </c>
    </row>
    <row r="12" spans="1:4" x14ac:dyDescent="0.25">
      <c r="A12">
        <v>11</v>
      </c>
      <c r="C12" s="1" t="s">
        <v>11</v>
      </c>
      <c r="D12" s="1" t="s">
        <v>1</v>
      </c>
    </row>
    <row r="13" spans="1:4" x14ac:dyDescent="0.25">
      <c r="A13">
        <v>12</v>
      </c>
      <c r="C13" s="1" t="s">
        <v>12</v>
      </c>
      <c r="D13" s="1" t="s">
        <v>1</v>
      </c>
    </row>
    <row r="14" spans="1:4" x14ac:dyDescent="0.25">
      <c r="A14">
        <v>13</v>
      </c>
      <c r="C14" s="1" t="s">
        <v>13</v>
      </c>
      <c r="D14" s="1" t="s">
        <v>1</v>
      </c>
    </row>
    <row r="15" spans="1:4" x14ac:dyDescent="0.25">
      <c r="A15">
        <v>14</v>
      </c>
      <c r="C15" s="1" t="s">
        <v>14</v>
      </c>
      <c r="D15" s="1" t="s">
        <v>1</v>
      </c>
    </row>
    <row r="16" spans="1:4" x14ac:dyDescent="0.25">
      <c r="A16">
        <v>15</v>
      </c>
      <c r="C16" s="1" t="s">
        <v>15</v>
      </c>
      <c r="D16" s="1" t="s">
        <v>1</v>
      </c>
    </row>
    <row r="17" spans="1:4" x14ac:dyDescent="0.25">
      <c r="A17">
        <v>16</v>
      </c>
      <c r="C17" s="1" t="s">
        <v>16</v>
      </c>
      <c r="D17" s="1" t="s">
        <v>1</v>
      </c>
    </row>
    <row r="18" spans="1:4" x14ac:dyDescent="0.25">
      <c r="A18">
        <v>17</v>
      </c>
      <c r="B18" s="1" t="s">
        <v>17</v>
      </c>
      <c r="C18" s="1" t="s">
        <v>17</v>
      </c>
      <c r="D18" s="1" t="s">
        <v>1</v>
      </c>
    </row>
    <row r="19" spans="1:4" x14ac:dyDescent="0.25">
      <c r="A19">
        <v>18</v>
      </c>
      <c r="C19" s="1" t="s">
        <v>18</v>
      </c>
      <c r="D19" s="1" t="s">
        <v>1</v>
      </c>
    </row>
    <row r="20" spans="1:4" x14ac:dyDescent="0.25">
      <c r="A20">
        <v>19</v>
      </c>
      <c r="C20" s="1" t="s">
        <v>19</v>
      </c>
      <c r="D20" s="1" t="s">
        <v>1</v>
      </c>
    </row>
    <row r="21" spans="1:4" x14ac:dyDescent="0.25">
      <c r="A21">
        <v>20</v>
      </c>
      <c r="C21" s="1" t="s">
        <v>20</v>
      </c>
      <c r="D21" s="1" t="s">
        <v>1</v>
      </c>
    </row>
    <row r="22" spans="1:4" x14ac:dyDescent="0.25">
      <c r="A22">
        <v>21</v>
      </c>
      <c r="C22" s="1" t="s">
        <v>21</v>
      </c>
      <c r="D22" s="1" t="s">
        <v>1</v>
      </c>
    </row>
    <row r="23" spans="1:4" x14ac:dyDescent="0.25">
      <c r="A23">
        <v>22</v>
      </c>
      <c r="B23" s="1" t="s">
        <v>22</v>
      </c>
      <c r="C23" s="1" t="s">
        <v>22</v>
      </c>
      <c r="D23" s="1" t="s">
        <v>1</v>
      </c>
    </row>
    <row r="24" spans="1:4" x14ac:dyDescent="0.25">
      <c r="A24">
        <v>23</v>
      </c>
      <c r="B24" s="1" t="s">
        <v>23</v>
      </c>
      <c r="C24" s="1" t="s">
        <v>23</v>
      </c>
      <c r="D24" s="1" t="s">
        <v>1</v>
      </c>
    </row>
    <row r="25" spans="1:4" x14ac:dyDescent="0.25">
      <c r="A25">
        <v>24</v>
      </c>
      <c r="C25" s="1" t="s">
        <v>24</v>
      </c>
      <c r="D25" s="1" t="s">
        <v>1</v>
      </c>
    </row>
    <row r="26" spans="1:4" x14ac:dyDescent="0.25">
      <c r="A26">
        <v>25</v>
      </c>
      <c r="C26" s="1" t="s">
        <v>25</v>
      </c>
      <c r="D26" s="1" t="s">
        <v>1</v>
      </c>
    </row>
    <row r="27" spans="1:4" x14ac:dyDescent="0.25">
      <c r="A27">
        <v>26</v>
      </c>
      <c r="C27" s="1" t="s">
        <v>26</v>
      </c>
      <c r="D27" s="1" t="s">
        <v>1</v>
      </c>
    </row>
    <row r="28" spans="1:4" x14ac:dyDescent="0.25">
      <c r="A28">
        <v>27</v>
      </c>
      <c r="C28" s="1" t="s">
        <v>27</v>
      </c>
      <c r="D28" s="1" t="s">
        <v>1</v>
      </c>
    </row>
    <row r="29" spans="1:4" x14ac:dyDescent="0.25">
      <c r="A29">
        <v>28</v>
      </c>
      <c r="C29" s="1" t="s">
        <v>28</v>
      </c>
      <c r="D29" s="1" t="s">
        <v>1</v>
      </c>
    </row>
    <row r="30" spans="1:4" x14ac:dyDescent="0.25">
      <c r="A30">
        <v>29</v>
      </c>
      <c r="C30" s="1" t="s">
        <v>29</v>
      </c>
      <c r="D30" s="1" t="s">
        <v>1</v>
      </c>
    </row>
    <row r="31" spans="1:4" x14ac:dyDescent="0.25">
      <c r="A31">
        <v>30</v>
      </c>
      <c r="C31" s="1" t="s">
        <v>30</v>
      </c>
      <c r="D31" s="1" t="s">
        <v>1</v>
      </c>
    </row>
    <row r="32" spans="1:4" x14ac:dyDescent="0.25">
      <c r="A32">
        <v>31</v>
      </c>
      <c r="C32" s="1" t="s">
        <v>31</v>
      </c>
      <c r="D32" s="1" t="s">
        <v>1</v>
      </c>
    </row>
    <row r="33" spans="1:4" x14ac:dyDescent="0.25">
      <c r="A33">
        <v>32</v>
      </c>
      <c r="C33" s="1" t="s">
        <v>32</v>
      </c>
      <c r="D33" s="1" t="s">
        <v>1</v>
      </c>
    </row>
    <row r="34" spans="1:4" x14ac:dyDescent="0.25">
      <c r="A34">
        <v>33</v>
      </c>
      <c r="C34" s="1" t="s">
        <v>33</v>
      </c>
      <c r="D34" s="1" t="s">
        <v>1</v>
      </c>
    </row>
    <row r="35" spans="1:4" x14ac:dyDescent="0.25">
      <c r="A35">
        <v>34</v>
      </c>
      <c r="C35" s="1" t="s">
        <v>34</v>
      </c>
      <c r="D35" s="1" t="s">
        <v>1</v>
      </c>
    </row>
    <row r="36" spans="1:4" x14ac:dyDescent="0.25">
      <c r="A36">
        <v>35</v>
      </c>
      <c r="C36" s="1" t="s">
        <v>35</v>
      </c>
      <c r="D36" s="1" t="s">
        <v>1</v>
      </c>
    </row>
    <row r="37" spans="1:4" x14ac:dyDescent="0.25">
      <c r="A37">
        <v>36</v>
      </c>
      <c r="C37" s="1" t="s">
        <v>36</v>
      </c>
      <c r="D37" s="1" t="s">
        <v>1</v>
      </c>
    </row>
    <row r="38" spans="1:4" x14ac:dyDescent="0.25">
      <c r="A38">
        <v>37</v>
      </c>
      <c r="C38" s="1" t="s">
        <v>37</v>
      </c>
      <c r="D38" s="1" t="s">
        <v>1</v>
      </c>
    </row>
    <row r="39" spans="1:4" x14ac:dyDescent="0.25">
      <c r="A39">
        <v>38</v>
      </c>
      <c r="C39" s="1" t="s">
        <v>38</v>
      </c>
      <c r="D39" s="1" t="s">
        <v>1</v>
      </c>
    </row>
    <row r="40" spans="1:4" x14ac:dyDescent="0.25">
      <c r="A40">
        <v>39</v>
      </c>
      <c r="C40" s="1" t="s">
        <v>39</v>
      </c>
      <c r="D40" s="1" t="s">
        <v>1</v>
      </c>
    </row>
    <row r="41" spans="1:4" x14ac:dyDescent="0.25">
      <c r="A41">
        <v>40</v>
      </c>
      <c r="B41" s="1" t="s">
        <v>40</v>
      </c>
      <c r="C41" s="1" t="s">
        <v>40</v>
      </c>
      <c r="D41" s="1" t="s">
        <v>1</v>
      </c>
    </row>
    <row r="42" spans="1:4" x14ac:dyDescent="0.25">
      <c r="A42">
        <v>41</v>
      </c>
      <c r="B42" s="1" t="s">
        <v>41</v>
      </c>
      <c r="C42" s="1" t="s">
        <v>41</v>
      </c>
      <c r="D42" s="1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view="pageBreakPreview" topLeftCell="A26" zoomScaleNormal="100" zoomScaleSheetLayoutView="100" workbookViewId="0">
      <selection activeCell="G30" sqref="G30"/>
    </sheetView>
  </sheetViews>
  <sheetFormatPr defaultRowHeight="15" x14ac:dyDescent="0.25"/>
  <cols>
    <col min="1" max="1" width="0.7109375" style="2" customWidth="1"/>
    <col min="2" max="2" width="5.140625" style="2" customWidth="1"/>
    <col min="3" max="3" width="17.42578125" style="2" customWidth="1"/>
    <col min="4" max="6" width="11.28515625" style="2" customWidth="1"/>
    <col min="7" max="7" width="10.42578125" style="2" customWidth="1"/>
    <col min="8" max="17" width="6.85546875" style="2" customWidth="1"/>
    <col min="18" max="16384" width="9.140625" style="2"/>
  </cols>
  <sheetData>
    <row r="1" spans="1:17" ht="44.25" customHeight="1" x14ac:dyDescent="0.25">
      <c r="A1" s="6"/>
      <c r="B1" s="100" t="s">
        <v>43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</row>
    <row r="2" spans="1:17" ht="16.5" customHeight="1" x14ac:dyDescent="0.25">
      <c r="A2" s="7"/>
      <c r="B2" s="102" t="s">
        <v>61</v>
      </c>
      <c r="C2" s="102" t="s">
        <v>60</v>
      </c>
      <c r="D2" s="103" t="s">
        <v>44</v>
      </c>
      <c r="E2" s="103" t="s">
        <v>45</v>
      </c>
      <c r="F2" s="102" t="s">
        <v>62</v>
      </c>
      <c r="G2" s="105" t="s">
        <v>76</v>
      </c>
      <c r="H2" s="102" t="s">
        <v>63</v>
      </c>
      <c r="I2" s="102"/>
      <c r="J2" s="102"/>
      <c r="K2" s="102"/>
      <c r="L2" s="102"/>
      <c r="M2" s="102"/>
      <c r="N2" s="102"/>
      <c r="O2" s="102"/>
      <c r="P2" s="102"/>
      <c r="Q2" s="102"/>
    </row>
    <row r="3" spans="1:17" ht="27.75" customHeight="1" x14ac:dyDescent="0.25">
      <c r="A3" s="7"/>
      <c r="B3" s="102"/>
      <c r="C3" s="102"/>
      <c r="D3" s="104"/>
      <c r="E3" s="104"/>
      <c r="F3" s="102"/>
      <c r="G3" s="106"/>
      <c r="H3" s="3" t="s">
        <v>64</v>
      </c>
      <c r="I3" s="3" t="s">
        <v>65</v>
      </c>
      <c r="J3" s="3" t="s">
        <v>66</v>
      </c>
      <c r="K3" s="3" t="s">
        <v>67</v>
      </c>
      <c r="L3" s="3" t="s">
        <v>68</v>
      </c>
      <c r="M3" s="3" t="s">
        <v>69</v>
      </c>
      <c r="N3" s="3" t="s">
        <v>70</v>
      </c>
      <c r="O3" s="3" t="s">
        <v>71</v>
      </c>
      <c r="P3" s="3" t="s">
        <v>72</v>
      </c>
      <c r="Q3" s="3" t="s">
        <v>73</v>
      </c>
    </row>
    <row r="4" spans="1:17" ht="18" customHeight="1" x14ac:dyDescent="0.25">
      <c r="A4" s="7"/>
      <c r="B4" s="4">
        <v>3</v>
      </c>
      <c r="C4" s="1" t="s">
        <v>8</v>
      </c>
      <c r="D4" s="1" t="s">
        <v>49</v>
      </c>
      <c r="E4" s="66" t="s">
        <v>55</v>
      </c>
      <c r="F4" s="4">
        <v>12</v>
      </c>
      <c r="G4" s="12">
        <v>7</v>
      </c>
      <c r="H4" s="10">
        <v>0.29166666666666669</v>
      </c>
      <c r="I4" s="10">
        <v>0.79166666666666663</v>
      </c>
      <c r="J4" s="3"/>
      <c r="K4" s="3"/>
      <c r="L4" s="3"/>
      <c r="M4" s="3"/>
      <c r="N4" s="3"/>
      <c r="O4" s="3"/>
      <c r="P4" s="3"/>
      <c r="Q4" s="3"/>
    </row>
    <row r="5" spans="1:17" ht="18" customHeight="1" x14ac:dyDescent="0.25">
      <c r="A5" s="7"/>
      <c r="B5" s="3">
        <v>4</v>
      </c>
      <c r="C5" s="1" t="s">
        <v>7</v>
      </c>
      <c r="D5" s="1" t="s">
        <v>49</v>
      </c>
      <c r="E5" s="66" t="s">
        <v>55</v>
      </c>
      <c r="F5" s="4">
        <v>12</v>
      </c>
      <c r="G5" s="12">
        <v>7</v>
      </c>
      <c r="H5" s="10">
        <v>0.29166666666666669</v>
      </c>
      <c r="I5" s="10">
        <v>0.79166666666666663</v>
      </c>
      <c r="J5" s="3"/>
      <c r="K5" s="3"/>
      <c r="L5" s="3"/>
      <c r="M5" s="3"/>
      <c r="N5" s="3"/>
      <c r="O5" s="3"/>
      <c r="P5" s="3"/>
      <c r="Q5" s="3"/>
    </row>
    <row r="6" spans="1:17" ht="18" customHeight="1" x14ac:dyDescent="0.25">
      <c r="A6" s="7"/>
      <c r="B6" s="4">
        <v>5</v>
      </c>
      <c r="C6" s="1" t="s">
        <v>27</v>
      </c>
      <c r="D6" s="1" t="s">
        <v>49</v>
      </c>
      <c r="E6" s="66" t="s">
        <v>55</v>
      </c>
      <c r="F6" s="4">
        <v>7</v>
      </c>
      <c r="G6" s="12">
        <v>9</v>
      </c>
      <c r="H6" s="10">
        <v>0.29166666666666669</v>
      </c>
      <c r="I6" s="10">
        <v>0.79166666666666663</v>
      </c>
      <c r="J6" s="3"/>
      <c r="K6" s="3"/>
      <c r="L6" s="3"/>
      <c r="M6" s="3"/>
      <c r="N6" s="3"/>
      <c r="O6" s="3"/>
      <c r="P6" s="3"/>
      <c r="Q6" s="3"/>
    </row>
    <row r="7" spans="1:17" ht="18" customHeight="1" x14ac:dyDescent="0.25">
      <c r="A7" s="7"/>
      <c r="B7" s="4">
        <v>23</v>
      </c>
      <c r="C7" s="1" t="s">
        <v>14</v>
      </c>
      <c r="D7" s="1" t="s">
        <v>54</v>
      </c>
      <c r="E7" s="67" t="s">
        <v>55</v>
      </c>
      <c r="F7" s="4">
        <v>4</v>
      </c>
      <c r="G7" s="13">
        <v>3</v>
      </c>
      <c r="H7" s="11">
        <v>0.33333333333333331</v>
      </c>
      <c r="I7" s="11">
        <v>0.83333333333333337</v>
      </c>
      <c r="J7" s="3"/>
      <c r="K7" s="3"/>
      <c r="L7" s="3"/>
      <c r="M7" s="3"/>
      <c r="N7" s="3"/>
      <c r="O7" s="3"/>
      <c r="P7" s="3"/>
      <c r="Q7" s="3"/>
    </row>
    <row r="8" spans="1:17" ht="18" customHeight="1" x14ac:dyDescent="0.25">
      <c r="A8" s="7"/>
      <c r="B8" s="3">
        <v>24</v>
      </c>
      <c r="C8" s="1" t="s">
        <v>15</v>
      </c>
      <c r="D8" s="1" t="s">
        <v>54</v>
      </c>
      <c r="E8" s="67" t="s">
        <v>55</v>
      </c>
      <c r="F8" s="4">
        <v>4</v>
      </c>
      <c r="G8" s="13">
        <v>3</v>
      </c>
      <c r="H8" s="11">
        <v>0.33333333333333331</v>
      </c>
      <c r="I8" s="11">
        <v>0.83333333333333337</v>
      </c>
      <c r="J8" s="3"/>
      <c r="K8" s="3"/>
      <c r="L8" s="3"/>
      <c r="M8" s="3"/>
      <c r="N8" s="3"/>
      <c r="O8" s="3"/>
      <c r="P8" s="3"/>
      <c r="Q8" s="3"/>
    </row>
    <row r="9" spans="1:17" ht="18" customHeight="1" x14ac:dyDescent="0.25">
      <c r="A9" s="7"/>
      <c r="B9" s="4">
        <v>25</v>
      </c>
      <c r="C9" s="3" t="s">
        <v>13</v>
      </c>
      <c r="D9" s="1" t="s">
        <v>54</v>
      </c>
      <c r="E9" s="67" t="s">
        <v>55</v>
      </c>
      <c r="F9" s="4">
        <v>4</v>
      </c>
      <c r="G9" s="13">
        <v>3</v>
      </c>
      <c r="H9" s="11">
        <v>0.33333333333333331</v>
      </c>
      <c r="I9" s="11">
        <v>0.83333333333333337</v>
      </c>
      <c r="J9" s="3"/>
      <c r="K9" s="3"/>
      <c r="L9" s="3"/>
      <c r="M9" s="3"/>
      <c r="N9" s="3"/>
      <c r="O9" s="3"/>
      <c r="P9" s="3"/>
      <c r="Q9" s="3"/>
    </row>
    <row r="10" spans="1:17" ht="18" customHeight="1" x14ac:dyDescent="0.25">
      <c r="A10" s="7"/>
      <c r="B10" s="3">
        <v>26</v>
      </c>
      <c r="C10" s="1" t="s">
        <v>16</v>
      </c>
      <c r="D10" s="1" t="s">
        <v>54</v>
      </c>
      <c r="E10" s="67" t="s">
        <v>55</v>
      </c>
      <c r="F10" s="4">
        <v>4</v>
      </c>
      <c r="G10" s="13">
        <v>3</v>
      </c>
      <c r="H10" s="11">
        <v>0.33333333333333331</v>
      </c>
      <c r="I10" s="11">
        <v>0.83333333333333337</v>
      </c>
      <c r="J10" s="3"/>
      <c r="K10" s="3"/>
      <c r="L10" s="3"/>
      <c r="M10" s="3"/>
      <c r="N10" s="3"/>
      <c r="O10" s="3"/>
      <c r="P10" s="3"/>
      <c r="Q10" s="3"/>
    </row>
    <row r="11" spans="1:17" ht="18" customHeight="1" x14ac:dyDescent="0.25">
      <c r="A11" s="7"/>
      <c r="B11" s="3">
        <v>32</v>
      </c>
      <c r="C11" s="3" t="s">
        <v>42</v>
      </c>
      <c r="D11" s="3" t="s">
        <v>53</v>
      </c>
      <c r="E11" s="67" t="s">
        <v>55</v>
      </c>
      <c r="F11" s="4">
        <v>1</v>
      </c>
      <c r="G11" s="13">
        <v>8</v>
      </c>
      <c r="H11" s="11">
        <v>0.125</v>
      </c>
      <c r="I11" s="11">
        <v>0.625</v>
      </c>
      <c r="J11" s="3"/>
      <c r="K11" s="3"/>
      <c r="L11" s="3"/>
      <c r="M11" s="3"/>
      <c r="N11" s="3"/>
      <c r="O11" s="3"/>
      <c r="P11" s="3"/>
      <c r="Q11" s="3"/>
    </row>
    <row r="12" spans="1:17" ht="18" customHeight="1" x14ac:dyDescent="0.25">
      <c r="A12" s="7"/>
      <c r="B12" s="4">
        <v>33</v>
      </c>
      <c r="C12" s="1" t="s">
        <v>11</v>
      </c>
      <c r="D12" s="1" t="s">
        <v>50</v>
      </c>
      <c r="E12" s="67" t="s">
        <v>55</v>
      </c>
      <c r="F12" s="4">
        <v>9</v>
      </c>
      <c r="G12" s="13">
        <v>6</v>
      </c>
      <c r="H12" s="11">
        <v>0.33333333333333331</v>
      </c>
      <c r="I12" s="11">
        <v>0.83333333333333337</v>
      </c>
      <c r="J12" s="3"/>
      <c r="K12" s="3"/>
      <c r="L12" s="3"/>
      <c r="M12" s="3"/>
      <c r="N12" s="3"/>
      <c r="O12" s="3"/>
      <c r="P12" s="3"/>
      <c r="Q12" s="3"/>
    </row>
    <row r="13" spans="1:17" ht="18" customHeight="1" x14ac:dyDescent="0.25">
      <c r="A13" s="7"/>
      <c r="B13" s="3">
        <v>34</v>
      </c>
      <c r="C13" s="1" t="s">
        <v>5</v>
      </c>
      <c r="D13" s="1" t="s">
        <v>50</v>
      </c>
      <c r="E13" s="68" t="s">
        <v>55</v>
      </c>
      <c r="F13" s="4">
        <v>15</v>
      </c>
      <c r="G13" s="13">
        <v>8</v>
      </c>
      <c r="H13" s="11">
        <v>0.33333333333333331</v>
      </c>
      <c r="I13" s="11">
        <v>0.83333333333333337</v>
      </c>
      <c r="J13" s="3"/>
      <c r="K13" s="3"/>
      <c r="L13" s="3"/>
      <c r="M13" s="3"/>
      <c r="N13" s="3"/>
      <c r="O13" s="3"/>
      <c r="P13" s="3"/>
      <c r="Q13" s="3"/>
    </row>
    <row r="14" spans="1:17" ht="18" customHeight="1" x14ac:dyDescent="0.25">
      <c r="A14" s="7"/>
      <c r="B14" s="3">
        <v>6</v>
      </c>
      <c r="C14" s="1" t="s">
        <v>19</v>
      </c>
      <c r="D14" s="1" t="s">
        <v>52</v>
      </c>
      <c r="E14" s="1" t="s">
        <v>56</v>
      </c>
      <c r="F14" s="4">
        <v>4</v>
      </c>
      <c r="G14" s="13">
        <v>6</v>
      </c>
      <c r="H14" s="11">
        <v>4.1666666666666664E-2</v>
      </c>
      <c r="I14" s="11">
        <v>0.16666666666666666</v>
      </c>
      <c r="J14" s="11">
        <v>0.58333333333333337</v>
      </c>
      <c r="K14" s="11">
        <v>0.75</v>
      </c>
      <c r="L14" s="3"/>
      <c r="M14" s="3"/>
      <c r="N14" s="3"/>
      <c r="O14" s="3"/>
      <c r="P14" s="3"/>
      <c r="Q14" s="3"/>
    </row>
    <row r="15" spans="1:17" ht="18" customHeight="1" x14ac:dyDescent="0.25">
      <c r="A15" s="7"/>
      <c r="B15" s="4">
        <v>7</v>
      </c>
      <c r="C15" s="1" t="s">
        <v>18</v>
      </c>
      <c r="D15" s="1" t="s">
        <v>52</v>
      </c>
      <c r="E15" s="1" t="s">
        <v>56</v>
      </c>
      <c r="F15" s="4">
        <v>4</v>
      </c>
      <c r="G15" s="13">
        <v>5</v>
      </c>
      <c r="H15" s="11">
        <v>4.1666666666666664E-2</v>
      </c>
      <c r="I15" s="11">
        <v>0.16666666666666666</v>
      </c>
      <c r="J15" s="11">
        <v>0.58333333333333337</v>
      </c>
      <c r="K15" s="11">
        <v>0.75</v>
      </c>
      <c r="L15" s="3"/>
      <c r="M15" s="3"/>
      <c r="N15" s="3"/>
      <c r="O15" s="3"/>
      <c r="P15" s="3"/>
      <c r="Q15" s="3"/>
    </row>
    <row r="16" spans="1:17" ht="18" customHeight="1" x14ac:dyDescent="0.25">
      <c r="A16" s="7"/>
      <c r="B16" s="3">
        <v>8</v>
      </c>
      <c r="C16" s="1" t="s">
        <v>33</v>
      </c>
      <c r="D16" s="1" t="s">
        <v>52</v>
      </c>
      <c r="E16" s="1" t="s">
        <v>56</v>
      </c>
      <c r="F16" s="4">
        <v>4</v>
      </c>
      <c r="G16" s="13">
        <v>6</v>
      </c>
      <c r="H16" s="11">
        <v>4.1666666666666664E-2</v>
      </c>
      <c r="I16" s="11">
        <v>0.16666666666666666</v>
      </c>
      <c r="J16" s="11">
        <v>0.58333333333333337</v>
      </c>
      <c r="K16" s="11">
        <v>0.75</v>
      </c>
      <c r="L16" s="3"/>
      <c r="M16" s="3"/>
      <c r="N16" s="3"/>
      <c r="O16" s="3"/>
      <c r="P16" s="3"/>
      <c r="Q16" s="3"/>
    </row>
    <row r="17" spans="1:17" ht="18" customHeight="1" x14ac:dyDescent="0.25">
      <c r="A17" s="7"/>
      <c r="B17" s="4">
        <v>9</v>
      </c>
      <c r="C17" s="1" t="s">
        <v>24</v>
      </c>
      <c r="D17" s="5" t="s">
        <v>52</v>
      </c>
      <c r="E17" s="1" t="s">
        <v>56</v>
      </c>
      <c r="F17" s="4">
        <v>7</v>
      </c>
      <c r="G17" s="13">
        <v>8</v>
      </c>
      <c r="H17" s="11">
        <v>4.1666666666666664E-2</v>
      </c>
      <c r="I17" s="11">
        <v>0.16666666666666666</v>
      </c>
      <c r="J17" s="11">
        <v>0.58333333333333337</v>
      </c>
      <c r="K17" s="11">
        <v>0.75</v>
      </c>
      <c r="L17" s="3"/>
      <c r="M17" s="3"/>
      <c r="N17" s="3"/>
      <c r="O17" s="3"/>
      <c r="P17" s="3"/>
      <c r="Q17" s="3"/>
    </row>
    <row r="18" spans="1:17" ht="18" customHeight="1" x14ac:dyDescent="0.25">
      <c r="A18" s="7"/>
      <c r="B18" s="3">
        <v>10</v>
      </c>
      <c r="C18" s="1" t="s">
        <v>30</v>
      </c>
      <c r="D18" s="1" t="s">
        <v>52</v>
      </c>
      <c r="E18" s="1" t="s">
        <v>56</v>
      </c>
      <c r="F18" s="4">
        <v>6</v>
      </c>
      <c r="G18" s="13">
        <v>7</v>
      </c>
      <c r="H18" s="11">
        <v>4.1666666666666664E-2</v>
      </c>
      <c r="I18" s="11">
        <v>0.16666666666666666</v>
      </c>
      <c r="J18" s="11">
        <v>0.58333333333333337</v>
      </c>
      <c r="K18" s="11">
        <v>0.75</v>
      </c>
      <c r="L18" s="3"/>
      <c r="M18" s="3"/>
      <c r="N18" s="3"/>
      <c r="O18" s="3"/>
      <c r="P18" s="3"/>
      <c r="Q18" s="3"/>
    </row>
    <row r="19" spans="1:17" ht="18" customHeight="1" x14ac:dyDescent="0.25">
      <c r="A19" s="7"/>
      <c r="B19" s="4">
        <v>11</v>
      </c>
      <c r="C19" s="1" t="s">
        <v>25</v>
      </c>
      <c r="D19" s="1" t="s">
        <v>52</v>
      </c>
      <c r="E19" s="1" t="s">
        <v>56</v>
      </c>
      <c r="F19" s="4">
        <v>3</v>
      </c>
      <c r="G19" s="13">
        <v>6</v>
      </c>
      <c r="H19" s="11">
        <v>4.1666666666666664E-2</v>
      </c>
      <c r="I19" s="11">
        <v>0.16666666666666666</v>
      </c>
      <c r="J19" s="11">
        <v>0.58333333333333337</v>
      </c>
      <c r="K19" s="11">
        <v>0.75</v>
      </c>
      <c r="L19" s="3"/>
      <c r="M19" s="3"/>
      <c r="N19" s="3"/>
      <c r="O19" s="3"/>
      <c r="P19" s="3"/>
      <c r="Q19" s="3"/>
    </row>
    <row r="20" spans="1:17" ht="18" customHeight="1" x14ac:dyDescent="0.25">
      <c r="A20" s="7"/>
      <c r="B20" s="3">
        <v>12</v>
      </c>
      <c r="C20" s="1" t="s">
        <v>10</v>
      </c>
      <c r="D20" s="1" t="s">
        <v>52</v>
      </c>
      <c r="E20" s="1" t="s">
        <v>56</v>
      </c>
      <c r="F20" s="4">
        <v>5</v>
      </c>
      <c r="G20" s="13">
        <v>6</v>
      </c>
      <c r="H20" s="11">
        <v>4.1666666666666664E-2</v>
      </c>
      <c r="I20" s="11">
        <v>0.16666666666666666</v>
      </c>
      <c r="J20" s="11">
        <v>0.58333333333333337</v>
      </c>
      <c r="K20" s="11">
        <v>0.75</v>
      </c>
      <c r="L20" s="3"/>
      <c r="M20" s="3"/>
      <c r="N20" s="3"/>
      <c r="O20" s="3"/>
      <c r="P20" s="3"/>
      <c r="Q20" s="3"/>
    </row>
    <row r="21" spans="1:17" ht="18" customHeight="1" x14ac:dyDescent="0.25">
      <c r="A21" s="7"/>
      <c r="B21" s="4">
        <v>13</v>
      </c>
      <c r="C21" s="1" t="s">
        <v>26</v>
      </c>
      <c r="D21" s="1" t="s">
        <v>52</v>
      </c>
      <c r="E21" s="1" t="s">
        <v>56</v>
      </c>
      <c r="F21" s="4">
        <v>3</v>
      </c>
      <c r="G21" s="13">
        <v>6</v>
      </c>
      <c r="H21" s="11">
        <v>4.1666666666666664E-2</v>
      </c>
      <c r="I21" s="11">
        <v>0.16666666666666666</v>
      </c>
      <c r="J21" s="11">
        <v>0.58333333333333337</v>
      </c>
      <c r="K21" s="11">
        <v>0.75</v>
      </c>
      <c r="L21" s="3"/>
      <c r="M21" s="3"/>
      <c r="N21" s="3"/>
      <c r="O21" s="3"/>
      <c r="P21" s="3"/>
      <c r="Q21" s="3"/>
    </row>
    <row r="22" spans="1:17" ht="18" customHeight="1" x14ac:dyDescent="0.25">
      <c r="A22" s="7"/>
      <c r="B22" s="3">
        <v>14</v>
      </c>
      <c r="C22" s="1" t="s">
        <v>12</v>
      </c>
      <c r="D22" s="1" t="s">
        <v>52</v>
      </c>
      <c r="E22" s="1" t="s">
        <v>56</v>
      </c>
      <c r="F22" s="4">
        <v>2</v>
      </c>
      <c r="G22" s="13">
        <v>2</v>
      </c>
      <c r="H22" s="11">
        <v>4.1666666666666664E-2</v>
      </c>
      <c r="I22" s="11">
        <v>0.16666666666666666</v>
      </c>
      <c r="J22" s="11">
        <v>0.58333333333333337</v>
      </c>
      <c r="K22" s="11">
        <v>0.75</v>
      </c>
      <c r="L22" s="3"/>
      <c r="M22" s="3"/>
      <c r="N22" s="3"/>
      <c r="O22" s="3"/>
      <c r="P22" s="3"/>
      <c r="Q22" s="3"/>
    </row>
    <row r="23" spans="1:17" ht="18" customHeight="1" x14ac:dyDescent="0.25">
      <c r="A23" s="7"/>
      <c r="B23" s="4">
        <v>15</v>
      </c>
      <c r="C23" s="1" t="s">
        <v>32</v>
      </c>
      <c r="D23" s="1" t="s">
        <v>52</v>
      </c>
      <c r="E23" s="1" t="s">
        <v>56</v>
      </c>
      <c r="F23" s="4">
        <v>2</v>
      </c>
      <c r="G23" s="13">
        <v>3</v>
      </c>
      <c r="H23" s="11">
        <v>4.1666666666666664E-2</v>
      </c>
      <c r="I23" s="11">
        <v>0.16666666666666666</v>
      </c>
      <c r="J23" s="11">
        <v>0.58333333333333337</v>
      </c>
      <c r="K23" s="11">
        <v>0.75</v>
      </c>
      <c r="L23" s="3"/>
      <c r="M23" s="3"/>
      <c r="N23" s="3"/>
      <c r="O23" s="3"/>
      <c r="P23" s="3"/>
      <c r="Q23" s="3"/>
    </row>
    <row r="24" spans="1:17" ht="18" customHeight="1" x14ac:dyDescent="0.25">
      <c r="A24" s="7"/>
      <c r="B24" s="3">
        <v>16</v>
      </c>
      <c r="C24" s="1" t="s">
        <v>31</v>
      </c>
      <c r="D24" s="1" t="s">
        <v>52</v>
      </c>
      <c r="E24" s="1" t="s">
        <v>56</v>
      </c>
      <c r="F24" s="4">
        <v>2</v>
      </c>
      <c r="G24" s="13">
        <v>3</v>
      </c>
      <c r="H24" s="11">
        <v>4.1666666666666664E-2</v>
      </c>
      <c r="I24" s="11">
        <v>0.16666666666666666</v>
      </c>
      <c r="J24" s="11">
        <v>0.58333333333333337</v>
      </c>
      <c r="K24" s="11">
        <v>0.75</v>
      </c>
      <c r="L24" s="3"/>
      <c r="M24" s="3"/>
      <c r="N24" s="3"/>
      <c r="O24" s="3"/>
      <c r="P24" s="3"/>
      <c r="Q24" s="3"/>
    </row>
    <row r="25" spans="1:17" ht="18" customHeight="1" x14ac:dyDescent="0.25">
      <c r="A25" s="7"/>
      <c r="B25" s="4">
        <v>17</v>
      </c>
      <c r="C25" s="1" t="s">
        <v>39</v>
      </c>
      <c r="D25" s="1" t="s">
        <v>52</v>
      </c>
      <c r="E25" s="1" t="s">
        <v>56</v>
      </c>
      <c r="F25" s="4">
        <v>1</v>
      </c>
      <c r="G25" s="13">
        <v>1</v>
      </c>
      <c r="H25" s="11">
        <v>4.1666666666666664E-2</v>
      </c>
      <c r="I25" s="11">
        <v>0.16666666666666666</v>
      </c>
      <c r="J25" s="11">
        <v>0.58333333333333337</v>
      </c>
      <c r="K25" s="11">
        <v>0.75</v>
      </c>
      <c r="L25" s="3"/>
      <c r="M25" s="3"/>
      <c r="N25" s="3"/>
      <c r="O25" s="3"/>
      <c r="P25" s="3"/>
      <c r="Q25" s="3"/>
    </row>
    <row r="26" spans="1:17" ht="18" customHeight="1" x14ac:dyDescent="0.25">
      <c r="A26" s="7"/>
      <c r="B26" s="3">
        <v>18</v>
      </c>
      <c r="C26" s="1" t="s">
        <v>35</v>
      </c>
      <c r="D26" s="1" t="s">
        <v>52</v>
      </c>
      <c r="E26" s="1" t="s">
        <v>56</v>
      </c>
      <c r="F26" s="4">
        <v>1</v>
      </c>
      <c r="G26" s="13">
        <v>1</v>
      </c>
      <c r="H26" s="11">
        <v>4.1666666666666664E-2</v>
      </c>
      <c r="I26" s="11">
        <v>0.16666666666666666</v>
      </c>
      <c r="J26" s="11">
        <v>0.58333333333333337</v>
      </c>
      <c r="K26" s="11">
        <v>0.75</v>
      </c>
      <c r="L26" s="3"/>
      <c r="M26" s="3"/>
      <c r="N26" s="3"/>
      <c r="O26" s="3"/>
      <c r="P26" s="3"/>
      <c r="Q26" s="3"/>
    </row>
    <row r="27" spans="1:17" ht="18" customHeight="1" x14ac:dyDescent="0.25">
      <c r="A27" s="7"/>
      <c r="B27" s="4">
        <v>19</v>
      </c>
      <c r="C27" s="1" t="s">
        <v>38</v>
      </c>
      <c r="D27" s="1" t="s">
        <v>52</v>
      </c>
      <c r="E27" s="1" t="s">
        <v>56</v>
      </c>
      <c r="F27" s="4">
        <v>1</v>
      </c>
      <c r="G27" s="13">
        <v>1</v>
      </c>
      <c r="H27" s="11">
        <v>4.1666666666666664E-2</v>
      </c>
      <c r="I27" s="11">
        <v>0.16666666666666666</v>
      </c>
      <c r="J27" s="11">
        <v>0.58333333333333337</v>
      </c>
      <c r="K27" s="11">
        <v>0.75</v>
      </c>
      <c r="L27" s="3"/>
      <c r="M27" s="3"/>
      <c r="N27" s="3"/>
      <c r="O27" s="3"/>
      <c r="P27" s="3"/>
      <c r="Q27" s="3"/>
    </row>
    <row r="28" spans="1:17" ht="18" customHeight="1" x14ac:dyDescent="0.25">
      <c r="A28" s="7"/>
      <c r="B28" s="3">
        <v>20</v>
      </c>
      <c r="C28" s="1" t="s">
        <v>37</v>
      </c>
      <c r="D28" s="1" t="s">
        <v>52</v>
      </c>
      <c r="E28" s="1" t="s">
        <v>56</v>
      </c>
      <c r="F28" s="4">
        <v>1</v>
      </c>
      <c r="G28" s="13">
        <v>1</v>
      </c>
      <c r="H28" s="11">
        <v>4.1666666666666664E-2</v>
      </c>
      <c r="I28" s="11">
        <v>0.16666666666666666</v>
      </c>
      <c r="J28" s="11">
        <v>0.58333333333333337</v>
      </c>
      <c r="K28" s="11">
        <v>0.75</v>
      </c>
      <c r="L28" s="3"/>
      <c r="M28" s="3"/>
      <c r="N28" s="3"/>
      <c r="O28" s="3"/>
      <c r="P28" s="3"/>
      <c r="Q28" s="3"/>
    </row>
    <row r="29" spans="1:17" ht="18" customHeight="1" x14ac:dyDescent="0.25">
      <c r="A29" s="7"/>
      <c r="B29" s="4">
        <v>21</v>
      </c>
      <c r="C29" s="1" t="s">
        <v>36</v>
      </c>
      <c r="D29" s="1" t="s">
        <v>52</v>
      </c>
      <c r="E29" s="1" t="s">
        <v>56</v>
      </c>
      <c r="F29" s="4">
        <v>1</v>
      </c>
      <c r="G29" s="13">
        <v>1</v>
      </c>
      <c r="H29" s="11">
        <v>4.1666666666666664E-2</v>
      </c>
      <c r="I29" s="11">
        <v>0.16666666666666666</v>
      </c>
      <c r="J29" s="11">
        <v>0.58333333333333337</v>
      </c>
      <c r="K29" s="11">
        <v>0.75</v>
      </c>
      <c r="L29" s="3"/>
      <c r="M29" s="3"/>
      <c r="N29" s="3"/>
      <c r="O29" s="3"/>
      <c r="P29" s="3"/>
      <c r="Q29" s="3"/>
    </row>
    <row r="30" spans="1:17" ht="18" customHeight="1" x14ac:dyDescent="0.25">
      <c r="A30" s="7"/>
      <c r="B30" s="4">
        <v>1</v>
      </c>
      <c r="C30" s="5" t="s">
        <v>2</v>
      </c>
      <c r="D30" s="5" t="s">
        <v>75</v>
      </c>
      <c r="E30" s="5" t="s">
        <v>74</v>
      </c>
      <c r="F30" s="4">
        <v>40</v>
      </c>
      <c r="G30" s="12">
        <v>15</v>
      </c>
      <c r="H30" s="10">
        <v>0.21180555555555555</v>
      </c>
      <c r="I30" s="10">
        <v>0.37708333333333333</v>
      </c>
      <c r="J30" s="10">
        <v>0.49375000000000002</v>
      </c>
      <c r="K30" s="10">
        <v>0.71666666666666667</v>
      </c>
      <c r="L30" s="10">
        <v>0.99236111111111114</v>
      </c>
      <c r="M30" s="4"/>
      <c r="N30" s="4"/>
      <c r="O30" s="4"/>
      <c r="P30" s="4"/>
      <c r="Q30" s="4"/>
    </row>
    <row r="31" spans="1:17" ht="18" customHeight="1" x14ac:dyDescent="0.25">
      <c r="A31" s="7"/>
      <c r="B31" s="3">
        <v>2</v>
      </c>
      <c r="C31" s="1" t="s">
        <v>0</v>
      </c>
      <c r="D31" s="5" t="s">
        <v>75</v>
      </c>
      <c r="E31" s="5" t="s">
        <v>74</v>
      </c>
      <c r="F31" s="4">
        <v>40</v>
      </c>
      <c r="G31" s="12">
        <v>15</v>
      </c>
      <c r="H31" s="10">
        <v>0.21180555555555555</v>
      </c>
      <c r="I31" s="10">
        <v>0.37708333333333333</v>
      </c>
      <c r="J31" s="10">
        <v>0.49375000000000002</v>
      </c>
      <c r="K31" s="10">
        <v>0.71666666666666667</v>
      </c>
      <c r="L31" s="10">
        <v>0.99236111111111114</v>
      </c>
      <c r="M31" s="3"/>
      <c r="N31" s="3"/>
      <c r="O31" s="3"/>
      <c r="P31" s="3"/>
      <c r="Q31" s="3"/>
    </row>
    <row r="32" spans="1:17" ht="18" customHeight="1" x14ac:dyDescent="0.25">
      <c r="A32" s="7"/>
      <c r="B32" s="4">
        <v>37</v>
      </c>
      <c r="C32" s="1" t="s">
        <v>9</v>
      </c>
      <c r="D32" s="1" t="s">
        <v>48</v>
      </c>
      <c r="E32" s="1" t="s">
        <v>58</v>
      </c>
      <c r="F32" s="4">
        <v>10</v>
      </c>
      <c r="G32" s="13">
        <v>3</v>
      </c>
      <c r="H32" s="11">
        <v>0.11041666666666666</v>
      </c>
      <c r="I32" s="11">
        <v>0.26805555555555555</v>
      </c>
      <c r="J32" s="11">
        <v>0.43472222222222223</v>
      </c>
      <c r="K32" s="11">
        <v>0.75069444444444444</v>
      </c>
      <c r="L32" s="11">
        <v>0.90208333333333335</v>
      </c>
      <c r="M32" s="3"/>
      <c r="N32" s="3"/>
      <c r="O32" s="3"/>
      <c r="P32" s="3"/>
      <c r="Q32" s="3"/>
    </row>
    <row r="33" spans="1:17" ht="18" customHeight="1" x14ac:dyDescent="0.25">
      <c r="A33" s="7"/>
      <c r="B33" s="3">
        <v>38</v>
      </c>
      <c r="C33" s="1" t="s">
        <v>34</v>
      </c>
      <c r="D33" s="1" t="s">
        <v>48</v>
      </c>
      <c r="E33" s="1" t="s">
        <v>59</v>
      </c>
      <c r="F33" s="4">
        <v>2</v>
      </c>
      <c r="G33" s="13">
        <v>1</v>
      </c>
      <c r="H33" s="11">
        <v>0.25972222222222224</v>
      </c>
      <c r="I33" s="11">
        <v>0.33611111111111114</v>
      </c>
      <c r="J33" s="11">
        <v>0.39930555555555558</v>
      </c>
      <c r="K33" s="11">
        <v>0.48888888888888887</v>
      </c>
      <c r="L33" s="11">
        <v>0.56597222222222221</v>
      </c>
      <c r="M33" s="11">
        <v>0.62222222222222223</v>
      </c>
      <c r="N33" s="11">
        <v>0.83125000000000004</v>
      </c>
      <c r="O33" s="11">
        <v>0.90902777777777777</v>
      </c>
      <c r="P33" s="11">
        <v>3.2638888888888891E-2</v>
      </c>
      <c r="Q33" s="11">
        <v>0.1111111111111111</v>
      </c>
    </row>
    <row r="34" spans="1:17" ht="18" customHeight="1" x14ac:dyDescent="0.25">
      <c r="A34" s="7"/>
      <c r="B34" s="3">
        <v>22</v>
      </c>
      <c r="C34" s="1" t="s">
        <v>3</v>
      </c>
      <c r="D34" s="1" t="s">
        <v>46</v>
      </c>
      <c r="E34" s="1" t="s">
        <v>57</v>
      </c>
      <c r="F34" s="4">
        <v>13</v>
      </c>
      <c r="G34" s="13">
        <v>16</v>
      </c>
      <c r="H34" s="11">
        <v>0.33333333333333331</v>
      </c>
      <c r="I34" s="3"/>
      <c r="J34" s="3"/>
      <c r="K34" s="3"/>
      <c r="L34" s="3"/>
      <c r="M34" s="3"/>
      <c r="N34" s="3"/>
      <c r="O34" s="3"/>
      <c r="P34" s="3"/>
      <c r="Q34" s="3"/>
    </row>
    <row r="35" spans="1:17" ht="18" customHeight="1" x14ac:dyDescent="0.25">
      <c r="A35" s="7"/>
      <c r="B35" s="4">
        <v>27</v>
      </c>
      <c r="C35" s="1" t="s">
        <v>21</v>
      </c>
      <c r="D35" s="1" t="s">
        <v>51</v>
      </c>
      <c r="E35" s="1" t="s">
        <v>57</v>
      </c>
      <c r="F35" s="4">
        <v>4</v>
      </c>
      <c r="G35" s="13">
        <v>8</v>
      </c>
      <c r="H35" s="11">
        <v>0.45833333333333331</v>
      </c>
      <c r="I35" s="3"/>
      <c r="J35" s="3"/>
      <c r="K35" s="3"/>
      <c r="L35" s="3"/>
      <c r="M35" s="3"/>
      <c r="N35" s="3"/>
      <c r="O35" s="3"/>
      <c r="P35" s="3"/>
      <c r="Q35" s="3"/>
    </row>
    <row r="36" spans="1:17" ht="18" customHeight="1" x14ac:dyDescent="0.25">
      <c r="A36" s="7"/>
      <c r="B36" s="3">
        <v>28</v>
      </c>
      <c r="C36" s="1" t="s">
        <v>20</v>
      </c>
      <c r="D36" s="1" t="s">
        <v>51</v>
      </c>
      <c r="E36" s="1" t="s">
        <v>57</v>
      </c>
      <c r="F36" s="4">
        <v>7</v>
      </c>
      <c r="G36" s="13">
        <v>9</v>
      </c>
      <c r="H36" s="11">
        <v>0.45833333333333331</v>
      </c>
      <c r="I36" s="3"/>
      <c r="J36" s="3"/>
      <c r="K36" s="3"/>
      <c r="L36" s="3"/>
      <c r="M36" s="3"/>
      <c r="N36" s="3"/>
      <c r="O36" s="3"/>
      <c r="P36" s="3"/>
      <c r="Q36" s="3"/>
    </row>
    <row r="37" spans="1:17" ht="18" customHeight="1" x14ac:dyDescent="0.25">
      <c r="A37" s="7"/>
      <c r="B37" s="4">
        <v>29</v>
      </c>
      <c r="C37" s="1" t="s">
        <v>28</v>
      </c>
      <c r="D37" s="1" t="s">
        <v>51</v>
      </c>
      <c r="E37" s="1" t="s">
        <v>57</v>
      </c>
      <c r="F37" s="4">
        <v>4</v>
      </c>
      <c r="G37" s="13">
        <v>9</v>
      </c>
      <c r="H37" s="11">
        <v>0.45833333333333331</v>
      </c>
      <c r="I37" s="3"/>
      <c r="J37" s="3"/>
      <c r="K37" s="3"/>
      <c r="L37" s="3"/>
      <c r="M37" s="3"/>
      <c r="N37" s="3"/>
      <c r="O37" s="3"/>
      <c r="P37" s="3"/>
      <c r="Q37" s="3"/>
    </row>
    <row r="38" spans="1:17" ht="18" customHeight="1" x14ac:dyDescent="0.25">
      <c r="A38" s="7"/>
      <c r="B38" s="3">
        <v>30</v>
      </c>
      <c r="C38" s="1" t="s">
        <v>29</v>
      </c>
      <c r="D38" s="1" t="s">
        <v>51</v>
      </c>
      <c r="E38" s="1" t="s">
        <v>57</v>
      </c>
      <c r="F38" s="4">
        <v>0</v>
      </c>
      <c r="G38" s="13">
        <v>0</v>
      </c>
      <c r="H38" s="11">
        <v>0.45833333333333331</v>
      </c>
      <c r="I38" s="3"/>
      <c r="J38" s="3"/>
      <c r="K38" s="3"/>
      <c r="L38" s="3"/>
      <c r="M38" s="3"/>
      <c r="N38" s="3"/>
      <c r="O38" s="3"/>
      <c r="P38" s="3"/>
      <c r="Q38" s="3"/>
    </row>
    <row r="39" spans="1:17" ht="18" customHeight="1" x14ac:dyDescent="0.25">
      <c r="A39" s="7"/>
      <c r="B39" s="4">
        <v>31</v>
      </c>
      <c r="C39" s="3" t="s">
        <v>17</v>
      </c>
      <c r="D39" s="3" t="s">
        <v>51</v>
      </c>
      <c r="E39" s="1" t="s">
        <v>57</v>
      </c>
      <c r="F39" s="4">
        <v>2</v>
      </c>
      <c r="G39" s="13">
        <v>2</v>
      </c>
      <c r="H39" s="11">
        <v>0.45833333333333331</v>
      </c>
      <c r="I39" s="3"/>
      <c r="J39" s="3"/>
      <c r="K39" s="3"/>
      <c r="L39" s="3"/>
      <c r="M39" s="3"/>
      <c r="N39" s="3"/>
      <c r="O39" s="3"/>
      <c r="P39" s="3"/>
      <c r="Q39" s="3"/>
    </row>
    <row r="40" spans="1:17" ht="18" customHeight="1" x14ac:dyDescent="0.25">
      <c r="A40" s="7"/>
      <c r="B40" s="4">
        <v>35</v>
      </c>
      <c r="C40" s="1" t="s">
        <v>4</v>
      </c>
      <c r="D40" s="1" t="s">
        <v>47</v>
      </c>
      <c r="E40" s="1" t="s">
        <v>57</v>
      </c>
      <c r="F40" s="4">
        <v>15</v>
      </c>
      <c r="G40" s="13">
        <v>20</v>
      </c>
      <c r="H40" s="11">
        <v>0.33333333333333331</v>
      </c>
      <c r="I40" s="3"/>
      <c r="J40" s="3"/>
      <c r="K40" s="3"/>
      <c r="L40" s="3"/>
      <c r="M40" s="3"/>
      <c r="N40" s="3"/>
      <c r="O40" s="3"/>
      <c r="P40" s="3"/>
      <c r="Q40" s="3"/>
    </row>
    <row r="41" spans="1:17" ht="18" customHeight="1" x14ac:dyDescent="0.25">
      <c r="A41" s="7"/>
      <c r="B41" s="3">
        <v>36</v>
      </c>
      <c r="C41" s="1" t="s">
        <v>6</v>
      </c>
      <c r="D41" s="1" t="s">
        <v>47</v>
      </c>
      <c r="E41" s="1" t="s">
        <v>57</v>
      </c>
      <c r="F41" s="4">
        <v>6</v>
      </c>
      <c r="G41" s="13">
        <v>7</v>
      </c>
      <c r="H41" s="11">
        <v>0.33333333333333331</v>
      </c>
      <c r="I41" s="3"/>
      <c r="J41" s="3"/>
      <c r="K41" s="3"/>
      <c r="L41" s="3"/>
      <c r="M41" s="3"/>
      <c r="N41" s="3"/>
      <c r="O41" s="3"/>
      <c r="P41" s="3"/>
      <c r="Q41" s="3"/>
    </row>
    <row r="42" spans="1:17" ht="4.5" customHeight="1" thickBot="1" x14ac:dyDescent="0.3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</sheetData>
  <sortState ref="C4:D41">
    <sortCondition ref="D4:D41"/>
  </sortState>
  <mergeCells count="8">
    <mergeCell ref="B1:Q1"/>
    <mergeCell ref="B2:B3"/>
    <mergeCell ref="C2:C3"/>
    <mergeCell ref="F2:F3"/>
    <mergeCell ref="H2:Q2"/>
    <mergeCell ref="D2:D3"/>
    <mergeCell ref="E2:E3"/>
    <mergeCell ref="G2:G3"/>
  </mergeCells>
  <printOptions horizontalCentered="1" verticalCentered="1"/>
  <pageMargins left="0" right="0" top="0" bottom="0" header="0" footer="0"/>
  <pageSetup paperSize="8"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1"/>
  <sheetViews>
    <sheetView showGridLines="0" tabSelected="1" topLeftCell="A45" zoomScale="85" zoomScaleNormal="85" workbookViewId="0">
      <selection activeCell="A3" sqref="A3"/>
    </sheetView>
  </sheetViews>
  <sheetFormatPr defaultRowHeight="15" x14ac:dyDescent="0.25"/>
  <cols>
    <col min="2" max="2" width="18.28515625" bestFit="1" customWidth="1"/>
    <col min="3" max="3" width="8.28515625" customWidth="1"/>
    <col min="4" max="6" width="8" customWidth="1"/>
    <col min="7" max="55" width="6.5703125" customWidth="1"/>
  </cols>
  <sheetData>
    <row r="1" spans="1:55" x14ac:dyDescent="0.25">
      <c r="F1" s="29">
        <v>0.29166666666666669</v>
      </c>
      <c r="G1" s="29">
        <v>6.9444444444444441E-3</v>
      </c>
      <c r="H1" s="28"/>
      <c r="I1" s="28"/>
      <c r="J1" s="29">
        <v>2.0833333333333332E-2</v>
      </c>
      <c r="K1" s="28"/>
      <c r="L1" s="28"/>
      <c r="M1" s="29">
        <v>6.9444444444444441E-3</v>
      </c>
      <c r="N1" s="28"/>
      <c r="O1" s="28"/>
      <c r="P1" s="28"/>
      <c r="Q1" s="28"/>
      <c r="R1" s="29">
        <v>3.125E-2</v>
      </c>
      <c r="S1" s="28"/>
      <c r="T1" s="28"/>
      <c r="U1" s="28"/>
      <c r="V1" s="28"/>
      <c r="W1" s="29">
        <v>6.9444444444444441E-3</v>
      </c>
      <c r="Z1" s="29">
        <v>0.66666666666666663</v>
      </c>
      <c r="AH1" s="29">
        <v>0.83680555555555558</v>
      </c>
      <c r="AI1" s="29">
        <f>J1</f>
        <v>2.0833333333333332E-2</v>
      </c>
      <c r="AP1" s="29">
        <v>2.7777777777777776E-2</v>
      </c>
      <c r="AV1" s="29">
        <v>2.7777777777777776E-2</v>
      </c>
      <c r="AX1" s="29">
        <v>0.20833333333333334</v>
      </c>
    </row>
    <row r="3" spans="1:55" ht="45" x14ac:dyDescent="0.25">
      <c r="B3" s="37" t="s">
        <v>45</v>
      </c>
      <c r="C3" s="36" t="s">
        <v>97</v>
      </c>
      <c r="D3" s="36" t="s">
        <v>83</v>
      </c>
      <c r="E3" s="36" t="s">
        <v>82</v>
      </c>
      <c r="F3" s="36" t="s">
        <v>84</v>
      </c>
      <c r="T3" s="22"/>
    </row>
    <row r="4" spans="1:55" x14ac:dyDescent="0.25">
      <c r="B4" s="19"/>
      <c r="C4" s="43"/>
      <c r="D4" s="20"/>
      <c r="E4" s="20"/>
      <c r="F4" s="20"/>
      <c r="G4" s="31">
        <f>F1+G1</f>
        <v>0.2986111111111111</v>
      </c>
      <c r="H4" s="31">
        <f>G4+$J1</f>
        <v>0.31944444444444442</v>
      </c>
      <c r="I4" s="31">
        <f>H4+$J1</f>
        <v>0.34027777777777773</v>
      </c>
      <c r="J4" s="31">
        <f>I4+$J1</f>
        <v>0.36111111111111105</v>
      </c>
      <c r="K4" s="31">
        <f>J4+$J1</f>
        <v>0.38194444444444436</v>
      </c>
      <c r="L4" s="31">
        <f>K4+$J1</f>
        <v>0.40277777777777768</v>
      </c>
      <c r="M4" s="32"/>
      <c r="N4" s="31">
        <f>L4+$J1+M1</f>
        <v>0.43055555555555541</v>
      </c>
      <c r="O4" s="31">
        <f>N4+$J1</f>
        <v>0.45138888888888873</v>
      </c>
      <c r="P4" s="31">
        <f>O4+$J1</f>
        <v>0.47222222222222204</v>
      </c>
      <c r="Q4" s="31">
        <f>P4+$J1</f>
        <v>0.49305555555555536</v>
      </c>
      <c r="R4" s="32"/>
      <c r="S4" s="31">
        <f>Q4+$J1+R1</f>
        <v>0.54513888888888873</v>
      </c>
      <c r="T4" s="31">
        <f>S4+$J1</f>
        <v>0.5659722222222221</v>
      </c>
      <c r="U4" s="31">
        <f>T4+$J1</f>
        <v>0.58680555555555547</v>
      </c>
      <c r="V4" s="31">
        <f>U4+$J1</f>
        <v>0.60763888888888884</v>
      </c>
      <c r="W4" s="32"/>
      <c r="X4" s="31">
        <f>V4+$J1+W1</f>
        <v>0.63541666666666663</v>
      </c>
      <c r="Y4" s="31">
        <f>X4+$J1</f>
        <v>0.65625</v>
      </c>
      <c r="Z4" s="33">
        <f>Y4+$J1</f>
        <v>0.67708333333333337</v>
      </c>
      <c r="AA4" s="23">
        <f>Z4+$J1</f>
        <v>0.69791666666666674</v>
      </c>
      <c r="AB4" s="23">
        <f>AA4+$J1</f>
        <v>0.71875000000000011</v>
      </c>
      <c r="AC4" s="23">
        <f>AB4+$J1</f>
        <v>0.73958333333333348</v>
      </c>
      <c r="AD4" s="23"/>
      <c r="AE4" s="23"/>
      <c r="AF4" s="23"/>
      <c r="AG4" s="23"/>
      <c r="AH4" s="23">
        <f>AH1</f>
        <v>0.83680555555555558</v>
      </c>
      <c r="AI4" s="23">
        <f>AH4+$AI1</f>
        <v>0.85763888888888895</v>
      </c>
      <c r="AJ4" s="23">
        <f t="shared" ref="AJ4:AY4" si="0">AI4+$AI1</f>
        <v>0.87847222222222232</v>
      </c>
      <c r="AK4" s="23">
        <f t="shared" si="0"/>
        <v>0.89930555555555569</v>
      </c>
      <c r="AL4" s="23">
        <f t="shared" si="0"/>
        <v>0.92013888888888906</v>
      </c>
      <c r="AM4" s="23">
        <f t="shared" si="0"/>
        <v>0.94097222222222243</v>
      </c>
      <c r="AN4" s="23">
        <f t="shared" si="0"/>
        <v>0.9618055555555558</v>
      </c>
      <c r="AO4" s="23">
        <f t="shared" si="0"/>
        <v>0.98263888888888917</v>
      </c>
      <c r="AP4" s="32"/>
      <c r="AQ4" s="23">
        <f>AO4+$AI1+AP1</f>
        <v>1.0312500000000002</v>
      </c>
      <c r="AR4" s="23">
        <f t="shared" si="0"/>
        <v>1.0520833333333335</v>
      </c>
      <c r="AS4" s="23">
        <f t="shared" si="0"/>
        <v>1.0729166666666667</v>
      </c>
      <c r="AT4" s="23">
        <f t="shared" si="0"/>
        <v>1.09375</v>
      </c>
      <c r="AU4" s="23">
        <f t="shared" si="0"/>
        <v>1.1145833333333333</v>
      </c>
      <c r="AV4" s="32"/>
      <c r="AW4" s="23">
        <f>AU4+$AI1+AV1</f>
        <v>1.1631944444444442</v>
      </c>
      <c r="AX4" s="23">
        <f t="shared" si="0"/>
        <v>1.1840277777777775</v>
      </c>
      <c r="AY4" s="23">
        <f t="shared" si="0"/>
        <v>1.2048611111111107</v>
      </c>
      <c r="AZ4" s="33">
        <f>AY4+$J1</f>
        <v>1.225694444444444</v>
      </c>
      <c r="BA4" s="23"/>
      <c r="BB4" s="23"/>
      <c r="BC4" s="23"/>
    </row>
    <row r="5" spans="1:55" x14ac:dyDescent="0.25">
      <c r="B5" s="19"/>
      <c r="C5" s="43"/>
      <c r="D5" s="20"/>
      <c r="E5" s="20"/>
      <c r="F5" s="20"/>
      <c r="G5" s="24">
        <v>1</v>
      </c>
      <c r="H5" s="24">
        <v>2</v>
      </c>
      <c r="I5" s="24">
        <v>3</v>
      </c>
      <c r="J5" s="24">
        <v>4</v>
      </c>
      <c r="K5" s="24">
        <v>5</v>
      </c>
      <c r="L5" s="24">
        <v>6</v>
      </c>
      <c r="M5" s="25"/>
      <c r="N5" s="24">
        <v>7</v>
      </c>
      <c r="O5" s="24">
        <v>8</v>
      </c>
      <c r="P5" s="24">
        <v>9</v>
      </c>
      <c r="Q5" s="24">
        <v>10</v>
      </c>
      <c r="R5" s="25"/>
      <c r="S5" s="24">
        <v>11</v>
      </c>
      <c r="T5" s="24">
        <v>12</v>
      </c>
      <c r="U5" s="24">
        <v>13</v>
      </c>
      <c r="V5" s="24">
        <v>14</v>
      </c>
      <c r="W5" s="25"/>
      <c r="X5" s="24">
        <v>15</v>
      </c>
      <c r="Y5" s="24">
        <v>16</v>
      </c>
      <c r="Z5" s="30"/>
      <c r="AA5" s="26"/>
      <c r="AB5" s="26"/>
      <c r="AC5" s="26"/>
      <c r="AD5" s="30"/>
      <c r="AE5" s="26"/>
      <c r="AF5" s="26"/>
      <c r="AG5" s="26"/>
      <c r="AH5" s="27">
        <v>17</v>
      </c>
      <c r="AI5" s="27">
        <v>18</v>
      </c>
      <c r="AJ5" s="27">
        <v>19</v>
      </c>
      <c r="AK5" s="27">
        <v>20</v>
      </c>
      <c r="AL5" s="27">
        <v>21</v>
      </c>
      <c r="AM5" s="27">
        <v>22</v>
      </c>
      <c r="AN5" s="27">
        <v>23</v>
      </c>
      <c r="AO5" s="27">
        <v>24</v>
      </c>
      <c r="AP5" s="25"/>
      <c r="AQ5" s="27">
        <v>25</v>
      </c>
      <c r="AR5" s="27">
        <v>26</v>
      </c>
      <c r="AS5" s="27">
        <v>27</v>
      </c>
      <c r="AT5" s="27">
        <v>28</v>
      </c>
      <c r="AU5" s="27">
        <v>29</v>
      </c>
      <c r="AV5" s="25"/>
      <c r="AW5" s="27">
        <v>30</v>
      </c>
      <c r="AX5" s="27">
        <v>31</v>
      </c>
      <c r="AY5" s="27">
        <v>32</v>
      </c>
      <c r="AZ5" s="30"/>
      <c r="BA5" s="26"/>
      <c r="BB5" s="26"/>
      <c r="BC5" s="26"/>
    </row>
    <row r="6" spans="1:55" ht="15.75" thickBot="1" x14ac:dyDescent="0.3">
      <c r="B6" s="35"/>
      <c r="C6" s="35"/>
      <c r="D6" s="35"/>
      <c r="E6" s="35"/>
      <c r="F6" s="35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35"/>
      <c r="AA6" s="35"/>
      <c r="AB6" s="35"/>
      <c r="AC6" s="35"/>
      <c r="AD6" s="35"/>
      <c r="AE6" s="35"/>
      <c r="AF6" s="35"/>
      <c r="AG6" s="35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35"/>
      <c r="BA6" s="35"/>
      <c r="BB6" s="35"/>
      <c r="BC6" s="35"/>
    </row>
    <row r="7" spans="1:55" ht="15.75" thickTop="1" x14ac:dyDescent="0.25">
      <c r="B7" s="37"/>
      <c r="C7" s="111" t="s">
        <v>101</v>
      </c>
      <c r="D7" s="112"/>
      <c r="E7" s="112"/>
      <c r="F7" s="113"/>
      <c r="G7" s="76">
        <v>1</v>
      </c>
      <c r="H7" s="77">
        <v>9</v>
      </c>
      <c r="I7" s="77">
        <v>5</v>
      </c>
      <c r="J7" s="77">
        <v>13</v>
      </c>
      <c r="K7" s="77">
        <v>3</v>
      </c>
      <c r="L7" s="77">
        <v>11</v>
      </c>
      <c r="M7" s="78"/>
      <c r="N7" s="79">
        <v>7</v>
      </c>
      <c r="O7" s="79">
        <v>15</v>
      </c>
      <c r="P7" s="79">
        <v>2</v>
      </c>
      <c r="Q7" s="79">
        <v>10</v>
      </c>
      <c r="R7" s="78"/>
      <c r="S7" s="79">
        <v>6</v>
      </c>
      <c r="T7" s="79">
        <v>14</v>
      </c>
      <c r="U7" s="79">
        <v>4</v>
      </c>
      <c r="V7" s="79">
        <v>12</v>
      </c>
      <c r="W7" s="78"/>
      <c r="X7" s="79">
        <v>8</v>
      </c>
      <c r="Y7" s="80">
        <v>16</v>
      </c>
      <c r="Z7" s="53" t="s">
        <v>87</v>
      </c>
      <c r="AA7" s="21"/>
      <c r="AB7" s="21"/>
      <c r="AC7" s="21"/>
      <c r="AD7" s="21"/>
      <c r="AE7" s="21"/>
      <c r="AF7" s="21"/>
      <c r="AG7" s="74" t="s">
        <v>87</v>
      </c>
      <c r="AH7" s="81">
        <v>1</v>
      </c>
      <c r="AI7" s="79">
        <v>9</v>
      </c>
      <c r="AJ7" s="79">
        <v>5</v>
      </c>
      <c r="AK7" s="79">
        <v>13</v>
      </c>
      <c r="AL7" s="79">
        <v>3</v>
      </c>
      <c r="AM7" s="79">
        <v>11</v>
      </c>
      <c r="AN7" s="79">
        <v>7</v>
      </c>
      <c r="AO7" s="79">
        <v>15</v>
      </c>
      <c r="AP7" s="78"/>
      <c r="AQ7" s="79">
        <v>2</v>
      </c>
      <c r="AR7" s="79">
        <v>10</v>
      </c>
      <c r="AS7" s="79">
        <v>6</v>
      </c>
      <c r="AT7" s="79">
        <v>14</v>
      </c>
      <c r="AU7" s="79">
        <v>4</v>
      </c>
      <c r="AV7" s="78"/>
      <c r="AW7" s="79">
        <v>12</v>
      </c>
      <c r="AX7" s="79">
        <v>8</v>
      </c>
      <c r="AY7" s="80">
        <v>16</v>
      </c>
      <c r="AZ7" s="75" t="s">
        <v>87</v>
      </c>
      <c r="BA7" s="21"/>
      <c r="BB7" s="21"/>
      <c r="BC7" s="21"/>
    </row>
    <row r="8" spans="1:55" ht="15.75" thickBot="1" x14ac:dyDescent="0.3">
      <c r="B8" s="1" t="s">
        <v>55</v>
      </c>
      <c r="C8" s="1"/>
      <c r="D8" s="21">
        <f>32</f>
        <v>32</v>
      </c>
      <c r="E8" s="21">
        <f>32/2</f>
        <v>16</v>
      </c>
      <c r="F8" s="52">
        <f>32/2</f>
        <v>16</v>
      </c>
      <c r="G8" s="89" t="s">
        <v>85</v>
      </c>
      <c r="H8" s="90"/>
      <c r="I8" s="90"/>
      <c r="J8" s="90"/>
      <c r="K8" s="90"/>
      <c r="L8" s="90"/>
      <c r="M8" s="91"/>
      <c r="N8" s="90"/>
      <c r="O8" s="90"/>
      <c r="P8" s="90"/>
      <c r="Q8" s="90"/>
      <c r="R8" s="91"/>
      <c r="S8" s="90"/>
      <c r="T8" s="90"/>
      <c r="U8" s="90"/>
      <c r="V8" s="90"/>
      <c r="W8" s="91"/>
      <c r="X8" s="90"/>
      <c r="Y8" s="92"/>
      <c r="Z8" s="53" t="s">
        <v>87</v>
      </c>
      <c r="AA8" s="39" t="s">
        <v>87</v>
      </c>
      <c r="AB8" s="39" t="s">
        <v>87</v>
      </c>
      <c r="AC8" s="39" t="s">
        <v>87</v>
      </c>
      <c r="AD8" s="39" t="s">
        <v>87</v>
      </c>
      <c r="AE8" s="39" t="s">
        <v>87</v>
      </c>
      <c r="AF8" s="39" t="s">
        <v>87</v>
      </c>
      <c r="AG8" s="74" t="s">
        <v>87</v>
      </c>
      <c r="AH8" s="89" t="s">
        <v>86</v>
      </c>
      <c r="AI8" s="90"/>
      <c r="AJ8" s="90"/>
      <c r="AK8" s="90"/>
      <c r="AL8" s="90"/>
      <c r="AM8" s="90"/>
      <c r="AN8" s="90"/>
      <c r="AO8" s="90"/>
      <c r="AP8" s="91"/>
      <c r="AQ8" s="90"/>
      <c r="AR8" s="90"/>
      <c r="AS8" s="90"/>
      <c r="AT8" s="90"/>
      <c r="AU8" s="90"/>
      <c r="AV8" s="91"/>
      <c r="AW8" s="90"/>
      <c r="AX8" s="90"/>
      <c r="AY8" s="92"/>
      <c r="AZ8" s="75" t="s">
        <v>87</v>
      </c>
      <c r="BA8" s="21"/>
      <c r="BB8" s="21"/>
      <c r="BC8" s="21"/>
    </row>
    <row r="9" spans="1:55" ht="15.75" thickTop="1" x14ac:dyDescent="0.25">
      <c r="A9">
        <v>1</v>
      </c>
      <c r="B9" s="1" t="str">
        <f>'1'!C4</f>
        <v>57183-BZ020</v>
      </c>
      <c r="C9" s="48">
        <f>'1'!G4</f>
        <v>7</v>
      </c>
      <c r="D9" s="21"/>
      <c r="E9" s="21"/>
      <c r="F9" s="21"/>
      <c r="G9" s="55">
        <v>1</v>
      </c>
      <c r="H9" s="55"/>
      <c r="I9" s="55">
        <v>1</v>
      </c>
      <c r="J9" s="55"/>
      <c r="K9" s="55">
        <v>1</v>
      </c>
      <c r="L9" s="55"/>
      <c r="M9" s="56"/>
      <c r="N9" s="57">
        <v>1</v>
      </c>
      <c r="O9" s="55"/>
      <c r="P9" s="55">
        <v>1</v>
      </c>
      <c r="Q9" s="55"/>
      <c r="R9" s="56"/>
      <c r="S9" s="55">
        <v>1</v>
      </c>
      <c r="T9" s="55"/>
      <c r="U9" s="55">
        <v>1</v>
      </c>
      <c r="V9" s="55"/>
      <c r="W9" s="56"/>
      <c r="X9" s="55"/>
      <c r="Y9" s="55"/>
      <c r="Z9" s="50">
        <f>SUM(G9:Y9)</f>
        <v>7</v>
      </c>
      <c r="AA9" s="44"/>
      <c r="AB9" s="44"/>
      <c r="AC9" s="44"/>
      <c r="AD9" s="44"/>
      <c r="AE9" s="44"/>
      <c r="AF9" s="44"/>
      <c r="AG9" s="47"/>
      <c r="AH9" s="55">
        <v>1</v>
      </c>
      <c r="AI9" s="55"/>
      <c r="AJ9" s="55">
        <v>1</v>
      </c>
      <c r="AK9" s="55"/>
      <c r="AL9" s="55">
        <v>1</v>
      </c>
      <c r="AM9" s="55"/>
      <c r="AN9" s="57">
        <v>1</v>
      </c>
      <c r="AO9" s="55"/>
      <c r="AP9" s="56"/>
      <c r="AQ9" s="55">
        <v>1</v>
      </c>
      <c r="AR9" s="55"/>
      <c r="AS9" s="55">
        <v>1</v>
      </c>
      <c r="AT9" s="55"/>
      <c r="AU9" s="55">
        <v>1</v>
      </c>
      <c r="AV9" s="56"/>
      <c r="AW9" s="55"/>
      <c r="AX9" s="55"/>
      <c r="AY9" s="55"/>
      <c r="AZ9" s="47"/>
      <c r="BA9" s="44"/>
      <c r="BB9" s="44"/>
      <c r="BC9" s="44"/>
    </row>
    <row r="10" spans="1:55" x14ac:dyDescent="0.25">
      <c r="A10">
        <v>2</v>
      </c>
      <c r="B10" s="1" t="str">
        <f>'1'!C5</f>
        <v>57184-BZ030</v>
      </c>
      <c r="C10" s="48">
        <f>'1'!G5</f>
        <v>7</v>
      </c>
      <c r="D10" s="21"/>
      <c r="E10" s="21"/>
      <c r="F10" s="21"/>
      <c r="G10" s="44"/>
      <c r="H10" s="44">
        <v>1</v>
      </c>
      <c r="I10" s="44"/>
      <c r="J10" s="44">
        <v>1</v>
      </c>
      <c r="K10" s="44"/>
      <c r="L10" s="44">
        <v>1</v>
      </c>
      <c r="M10" s="45"/>
      <c r="N10" s="44"/>
      <c r="O10" s="44"/>
      <c r="P10" s="44"/>
      <c r="Q10" s="44">
        <v>1</v>
      </c>
      <c r="R10" s="45"/>
      <c r="S10" s="44"/>
      <c r="T10" s="49">
        <v>1</v>
      </c>
      <c r="U10" s="44"/>
      <c r="V10" s="44">
        <v>1</v>
      </c>
      <c r="W10" s="45"/>
      <c r="X10" s="44">
        <v>1</v>
      </c>
      <c r="Y10" s="44"/>
      <c r="Z10" s="50">
        <f t="shared" ref="Z10:Z18" si="1">SUM(G10:Y10)</f>
        <v>7</v>
      </c>
      <c r="AA10" s="44"/>
      <c r="AB10" s="44"/>
      <c r="AC10" s="44"/>
      <c r="AD10" s="44"/>
      <c r="AE10" s="44"/>
      <c r="AF10" s="44"/>
      <c r="AG10" s="47"/>
      <c r="AH10" s="44"/>
      <c r="AI10" s="44">
        <v>1</v>
      </c>
      <c r="AJ10" s="44"/>
      <c r="AK10" s="44">
        <v>1</v>
      </c>
      <c r="AL10" s="44"/>
      <c r="AM10" s="44">
        <v>1</v>
      </c>
      <c r="AN10" s="44"/>
      <c r="AO10" s="44"/>
      <c r="AP10" s="45"/>
      <c r="AQ10" s="44"/>
      <c r="AR10" s="44">
        <v>1</v>
      </c>
      <c r="AS10" s="44"/>
      <c r="AT10" s="49">
        <v>1</v>
      </c>
      <c r="AU10" s="44"/>
      <c r="AV10" s="45"/>
      <c r="AW10" s="44">
        <v>1</v>
      </c>
      <c r="AX10" s="44">
        <v>1</v>
      </c>
      <c r="AY10" s="44"/>
      <c r="AZ10" s="47"/>
      <c r="BA10" s="44"/>
      <c r="BB10" s="44"/>
      <c r="BC10" s="44"/>
    </row>
    <row r="11" spans="1:55" x14ac:dyDescent="0.25">
      <c r="A11">
        <v>3</v>
      </c>
      <c r="B11" s="1" t="str">
        <f>'1'!C6</f>
        <v>51321-BZ100</v>
      </c>
      <c r="C11" s="48">
        <f>'1'!G6</f>
        <v>9</v>
      </c>
      <c r="D11" s="21"/>
      <c r="E11" s="21"/>
      <c r="F11" s="21"/>
      <c r="G11" s="44">
        <v>1</v>
      </c>
      <c r="H11" s="44"/>
      <c r="I11" s="44">
        <v>1</v>
      </c>
      <c r="J11" s="44"/>
      <c r="K11" s="44">
        <v>1</v>
      </c>
      <c r="L11" s="44"/>
      <c r="M11" s="45"/>
      <c r="N11" s="49">
        <v>1</v>
      </c>
      <c r="O11" s="44">
        <v>1</v>
      </c>
      <c r="P11" s="44">
        <v>1</v>
      </c>
      <c r="Q11" s="44"/>
      <c r="R11" s="45"/>
      <c r="S11" s="44">
        <v>1</v>
      </c>
      <c r="T11" s="44"/>
      <c r="U11" s="44">
        <v>1</v>
      </c>
      <c r="V11" s="44"/>
      <c r="W11" s="45"/>
      <c r="X11" s="44"/>
      <c r="Y11" s="44">
        <v>1</v>
      </c>
      <c r="Z11" s="50">
        <f t="shared" si="1"/>
        <v>9</v>
      </c>
      <c r="AA11" s="44"/>
      <c r="AB11" s="44"/>
      <c r="AC11" s="44"/>
      <c r="AD11" s="44"/>
      <c r="AE11" s="44"/>
      <c r="AF11" s="44"/>
      <c r="AG11" s="47"/>
      <c r="AH11" s="44">
        <v>1</v>
      </c>
      <c r="AI11" s="44"/>
      <c r="AJ11" s="44">
        <v>1</v>
      </c>
      <c r="AK11" s="44"/>
      <c r="AL11" s="44">
        <v>1</v>
      </c>
      <c r="AM11" s="44"/>
      <c r="AN11" s="49">
        <v>1</v>
      </c>
      <c r="AO11" s="44">
        <v>1</v>
      </c>
      <c r="AP11" s="45"/>
      <c r="AQ11" s="44">
        <v>1</v>
      </c>
      <c r="AR11" s="44"/>
      <c r="AS11" s="44">
        <v>1</v>
      </c>
      <c r="AT11" s="44"/>
      <c r="AU11" s="44">
        <v>1</v>
      </c>
      <c r="AV11" s="45"/>
      <c r="AW11" s="44"/>
      <c r="AX11" s="44"/>
      <c r="AY11" s="44">
        <v>1</v>
      </c>
      <c r="AZ11" s="47"/>
      <c r="BA11" s="44"/>
      <c r="BB11" s="44"/>
      <c r="BC11" s="44"/>
    </row>
    <row r="12" spans="1:55" x14ac:dyDescent="0.25">
      <c r="A12">
        <v>4</v>
      </c>
      <c r="B12" s="1" t="str">
        <f>'1'!C7</f>
        <v>57183-BZ010</v>
      </c>
      <c r="C12" s="48">
        <f>'1'!G7</f>
        <v>3</v>
      </c>
      <c r="D12" s="21"/>
      <c r="E12" s="21"/>
      <c r="F12" s="21"/>
      <c r="G12" s="44"/>
      <c r="H12" s="44">
        <v>1</v>
      </c>
      <c r="I12" s="44"/>
      <c r="J12" s="44"/>
      <c r="K12" s="44"/>
      <c r="L12" s="44"/>
      <c r="M12" s="45"/>
      <c r="N12" s="44"/>
      <c r="O12" s="44"/>
      <c r="P12" s="44"/>
      <c r="Q12" s="49">
        <v>1</v>
      </c>
      <c r="R12" s="45"/>
      <c r="S12" s="44"/>
      <c r="T12" s="44"/>
      <c r="U12" s="44"/>
      <c r="V12" s="44"/>
      <c r="W12" s="45"/>
      <c r="X12" s="44">
        <v>1</v>
      </c>
      <c r="Y12" s="44"/>
      <c r="Z12" s="50">
        <f t="shared" si="1"/>
        <v>3</v>
      </c>
      <c r="AA12" s="44"/>
      <c r="AB12" s="44"/>
      <c r="AC12" s="44"/>
      <c r="AD12" s="44"/>
      <c r="AE12" s="44"/>
      <c r="AF12" s="44"/>
      <c r="AG12" s="47"/>
      <c r="AH12" s="44"/>
      <c r="AI12" s="44">
        <v>1</v>
      </c>
      <c r="AJ12" s="44"/>
      <c r="AK12" s="44"/>
      <c r="AL12" s="44"/>
      <c r="AM12" s="44"/>
      <c r="AN12" s="44"/>
      <c r="AO12" s="44"/>
      <c r="AP12" s="45"/>
      <c r="AQ12" s="44"/>
      <c r="AR12" s="49">
        <v>1</v>
      </c>
      <c r="AS12" s="44"/>
      <c r="AT12" s="44"/>
      <c r="AU12" s="44"/>
      <c r="AV12" s="45"/>
      <c r="AW12" s="44"/>
      <c r="AX12" s="44">
        <v>1</v>
      </c>
      <c r="AY12" s="44"/>
      <c r="AZ12" s="47"/>
      <c r="BA12" s="44"/>
      <c r="BB12" s="44"/>
      <c r="BC12" s="44"/>
    </row>
    <row r="13" spans="1:55" x14ac:dyDescent="0.25">
      <c r="A13">
        <v>5</v>
      </c>
      <c r="B13" s="1" t="str">
        <f>'1'!C8</f>
        <v>57433-BZ020</v>
      </c>
      <c r="C13" s="48">
        <f>'1'!G8</f>
        <v>3</v>
      </c>
      <c r="D13" s="21"/>
      <c r="E13" s="21"/>
      <c r="F13" s="21"/>
      <c r="G13" s="44"/>
      <c r="H13" s="44"/>
      <c r="I13" s="44"/>
      <c r="J13" s="49">
        <v>1</v>
      </c>
      <c r="K13" s="44"/>
      <c r="L13" s="44">
        <v>1</v>
      </c>
      <c r="M13" s="45"/>
      <c r="N13" s="44"/>
      <c r="O13" s="44"/>
      <c r="P13" s="44"/>
      <c r="Q13" s="44"/>
      <c r="R13" s="45"/>
      <c r="S13" s="44"/>
      <c r="T13" s="44"/>
      <c r="U13" s="44"/>
      <c r="V13" s="44">
        <v>1</v>
      </c>
      <c r="W13" s="45"/>
      <c r="X13" s="44"/>
      <c r="Y13" s="44"/>
      <c r="Z13" s="50">
        <f t="shared" si="1"/>
        <v>3</v>
      </c>
      <c r="AA13" s="44"/>
      <c r="AB13" s="44"/>
      <c r="AC13" s="44"/>
      <c r="AD13" s="44"/>
      <c r="AE13" s="44"/>
      <c r="AF13" s="44"/>
      <c r="AG13" s="47"/>
      <c r="AH13" s="44"/>
      <c r="AI13" s="44"/>
      <c r="AJ13" s="44"/>
      <c r="AK13" s="49">
        <v>1</v>
      </c>
      <c r="AL13" s="44"/>
      <c r="AM13" s="44">
        <v>1</v>
      </c>
      <c r="AN13" s="44"/>
      <c r="AO13" s="44"/>
      <c r="AP13" s="45"/>
      <c r="AQ13" s="44"/>
      <c r="AR13" s="44"/>
      <c r="AS13" s="44"/>
      <c r="AT13" s="44"/>
      <c r="AU13" s="44"/>
      <c r="AV13" s="45"/>
      <c r="AW13" s="44">
        <v>1</v>
      </c>
      <c r="AX13" s="44"/>
      <c r="AY13" s="44"/>
      <c r="AZ13" s="47"/>
      <c r="BA13" s="44"/>
      <c r="BB13" s="44"/>
      <c r="BC13" s="44"/>
    </row>
    <row r="14" spans="1:55" x14ac:dyDescent="0.25">
      <c r="A14">
        <v>6</v>
      </c>
      <c r="B14" s="1" t="str">
        <f>'1'!C9</f>
        <v>57184-BZ020</v>
      </c>
      <c r="C14" s="48">
        <f>'1'!G9</f>
        <v>3</v>
      </c>
      <c r="D14" s="21"/>
      <c r="E14" s="21"/>
      <c r="F14" s="21"/>
      <c r="G14" s="44"/>
      <c r="H14" s="44"/>
      <c r="I14" s="44"/>
      <c r="J14" s="44"/>
      <c r="K14" s="44"/>
      <c r="L14" s="44"/>
      <c r="M14" s="45"/>
      <c r="N14" s="44"/>
      <c r="O14" s="44">
        <v>1</v>
      </c>
      <c r="P14" s="44"/>
      <c r="Q14" s="44"/>
      <c r="R14" s="45"/>
      <c r="S14" s="44"/>
      <c r="T14" s="44">
        <v>1</v>
      </c>
      <c r="U14" s="44"/>
      <c r="V14" s="44"/>
      <c r="W14" s="45"/>
      <c r="X14" s="44"/>
      <c r="Y14" s="49">
        <v>1</v>
      </c>
      <c r="Z14" s="50">
        <f t="shared" si="1"/>
        <v>3</v>
      </c>
      <c r="AA14" s="44"/>
      <c r="AB14" s="44"/>
      <c r="AC14" s="44"/>
      <c r="AD14" s="44"/>
      <c r="AE14" s="44"/>
      <c r="AF14" s="44"/>
      <c r="AG14" s="47"/>
      <c r="AH14" s="44"/>
      <c r="AI14" s="44"/>
      <c r="AJ14" s="44"/>
      <c r="AK14" s="44"/>
      <c r="AL14" s="44"/>
      <c r="AM14" s="44"/>
      <c r="AN14" s="44"/>
      <c r="AO14" s="44">
        <v>1</v>
      </c>
      <c r="AP14" s="45"/>
      <c r="AQ14" s="44"/>
      <c r="AR14" s="44"/>
      <c r="AS14" s="44"/>
      <c r="AT14" s="44">
        <v>1</v>
      </c>
      <c r="AU14" s="44"/>
      <c r="AV14" s="45"/>
      <c r="AW14" s="44"/>
      <c r="AX14" s="44"/>
      <c r="AY14" s="49">
        <v>1</v>
      </c>
      <c r="AZ14" s="47"/>
      <c r="BA14" s="44"/>
      <c r="BB14" s="44"/>
      <c r="BC14" s="44"/>
    </row>
    <row r="15" spans="1:55" x14ac:dyDescent="0.25">
      <c r="A15">
        <v>7</v>
      </c>
      <c r="B15" s="1" t="str">
        <f>'1'!C10</f>
        <v>57434-BZ020</v>
      </c>
      <c r="C15" s="48">
        <f>'1'!G10</f>
        <v>3</v>
      </c>
      <c r="D15" s="21"/>
      <c r="E15" s="21"/>
      <c r="F15" s="21"/>
      <c r="G15" s="44">
        <v>1</v>
      </c>
      <c r="H15" s="44"/>
      <c r="I15" s="44"/>
      <c r="J15" s="44"/>
      <c r="K15" s="49">
        <v>1</v>
      </c>
      <c r="L15" s="44"/>
      <c r="M15" s="45"/>
      <c r="N15" s="44"/>
      <c r="O15" s="44"/>
      <c r="P15" s="44">
        <v>1</v>
      </c>
      <c r="Q15" s="44"/>
      <c r="R15" s="45"/>
      <c r="S15" s="44"/>
      <c r="T15" s="44"/>
      <c r="U15" s="44"/>
      <c r="V15" s="44"/>
      <c r="W15" s="45"/>
      <c r="X15" s="44"/>
      <c r="Y15" s="44"/>
      <c r="Z15" s="50">
        <f t="shared" si="1"/>
        <v>3</v>
      </c>
      <c r="AA15" s="44"/>
      <c r="AB15" s="44"/>
      <c r="AC15" s="44"/>
      <c r="AD15" s="44"/>
      <c r="AE15" s="44"/>
      <c r="AF15" s="44"/>
      <c r="AG15" s="47"/>
      <c r="AH15" s="44">
        <v>1</v>
      </c>
      <c r="AI15" s="44"/>
      <c r="AJ15" s="44"/>
      <c r="AK15" s="44"/>
      <c r="AL15" s="49">
        <v>1</v>
      </c>
      <c r="AM15" s="44"/>
      <c r="AN15" s="44"/>
      <c r="AO15" s="44"/>
      <c r="AP15" s="45"/>
      <c r="AQ15" s="44">
        <v>1</v>
      </c>
      <c r="AR15" s="44"/>
      <c r="AS15" s="44"/>
      <c r="AT15" s="44"/>
      <c r="AU15" s="44"/>
      <c r="AV15" s="45"/>
      <c r="AW15" s="44"/>
      <c r="AX15" s="44"/>
      <c r="AY15" s="44"/>
      <c r="AZ15" s="47"/>
      <c r="BA15" s="44"/>
      <c r="BB15" s="44"/>
      <c r="BC15" s="44"/>
    </row>
    <row r="16" spans="1:55" x14ac:dyDescent="0.25">
      <c r="A16">
        <v>8</v>
      </c>
      <c r="B16" s="1" t="str">
        <f>'1'!C11</f>
        <v>JJB03-001530</v>
      </c>
      <c r="C16" s="48">
        <f>'1'!G11</f>
        <v>8</v>
      </c>
      <c r="D16" s="21"/>
      <c r="E16" s="21"/>
      <c r="F16" s="21"/>
      <c r="G16" s="44"/>
      <c r="H16" s="44">
        <v>1</v>
      </c>
      <c r="I16" s="44">
        <v>1</v>
      </c>
      <c r="J16" s="44"/>
      <c r="K16" s="44"/>
      <c r="L16" s="49">
        <v>1</v>
      </c>
      <c r="M16" s="45"/>
      <c r="N16" s="44">
        <v>1</v>
      </c>
      <c r="O16" s="44"/>
      <c r="P16" s="44"/>
      <c r="Q16" s="44">
        <v>1</v>
      </c>
      <c r="R16" s="45"/>
      <c r="S16" s="44">
        <v>1</v>
      </c>
      <c r="T16" s="44"/>
      <c r="U16" s="44">
        <v>1</v>
      </c>
      <c r="V16" s="44"/>
      <c r="W16" s="45"/>
      <c r="X16" s="44">
        <v>1</v>
      </c>
      <c r="Y16" s="44"/>
      <c r="Z16" s="50">
        <f t="shared" si="1"/>
        <v>8</v>
      </c>
      <c r="AA16" s="44"/>
      <c r="AB16" s="44"/>
      <c r="AC16" s="44"/>
      <c r="AD16" s="44"/>
      <c r="AE16" s="44"/>
      <c r="AF16" s="44"/>
      <c r="AG16" s="47"/>
      <c r="AH16" s="44"/>
      <c r="AI16" s="44">
        <v>1</v>
      </c>
      <c r="AJ16" s="44">
        <v>1</v>
      </c>
      <c r="AK16" s="44"/>
      <c r="AL16" s="44"/>
      <c r="AM16" s="49">
        <v>1</v>
      </c>
      <c r="AN16" s="44">
        <v>1</v>
      </c>
      <c r="AO16" s="44"/>
      <c r="AP16" s="45"/>
      <c r="AQ16" s="44"/>
      <c r="AR16" s="44">
        <v>1</v>
      </c>
      <c r="AS16" s="44">
        <v>1</v>
      </c>
      <c r="AT16" s="44"/>
      <c r="AU16" s="44">
        <v>1</v>
      </c>
      <c r="AV16" s="45"/>
      <c r="AW16" s="44"/>
      <c r="AX16" s="44">
        <v>1</v>
      </c>
      <c r="AY16" s="44"/>
      <c r="AZ16" s="47"/>
      <c r="BA16" s="44"/>
      <c r="BB16" s="44"/>
      <c r="BC16" s="44"/>
    </row>
    <row r="17" spans="1:55" x14ac:dyDescent="0.25">
      <c r="A17">
        <v>9</v>
      </c>
      <c r="B17" s="1" t="str">
        <f>'1'!C12</f>
        <v>55114-VT020</v>
      </c>
      <c r="C17" s="48">
        <f>'1'!G12</f>
        <v>6</v>
      </c>
      <c r="D17" s="21"/>
      <c r="E17" s="21"/>
      <c r="F17" s="21"/>
      <c r="G17" s="49">
        <v>1</v>
      </c>
      <c r="H17" s="44"/>
      <c r="I17" s="44"/>
      <c r="J17" s="44">
        <v>1</v>
      </c>
      <c r="K17" s="44"/>
      <c r="L17" s="44"/>
      <c r="M17" s="45"/>
      <c r="N17" s="44"/>
      <c r="O17" s="44">
        <v>1</v>
      </c>
      <c r="P17" s="44"/>
      <c r="Q17" s="44"/>
      <c r="R17" s="45"/>
      <c r="S17" s="44"/>
      <c r="T17" s="44">
        <v>1</v>
      </c>
      <c r="U17" s="44"/>
      <c r="V17" s="44">
        <v>1</v>
      </c>
      <c r="W17" s="45"/>
      <c r="X17" s="44"/>
      <c r="Y17" s="44">
        <v>1</v>
      </c>
      <c r="Z17" s="50">
        <f t="shared" si="1"/>
        <v>6</v>
      </c>
      <c r="AA17" s="44"/>
      <c r="AB17" s="44"/>
      <c r="AC17" s="44"/>
      <c r="AD17" s="44"/>
      <c r="AE17" s="44"/>
      <c r="AF17" s="44"/>
      <c r="AG17" s="47"/>
      <c r="AH17" s="49">
        <v>1</v>
      </c>
      <c r="AI17" s="44"/>
      <c r="AJ17" s="44"/>
      <c r="AK17" s="44">
        <v>1</v>
      </c>
      <c r="AL17" s="44"/>
      <c r="AM17" s="44"/>
      <c r="AN17" s="44"/>
      <c r="AO17" s="44">
        <v>1</v>
      </c>
      <c r="AP17" s="45"/>
      <c r="AQ17" s="44"/>
      <c r="AR17" s="44"/>
      <c r="AS17" s="44"/>
      <c r="AT17" s="44">
        <v>1</v>
      </c>
      <c r="AU17" s="44"/>
      <c r="AV17" s="45"/>
      <c r="AW17" s="44">
        <v>1</v>
      </c>
      <c r="AX17" s="44"/>
      <c r="AY17" s="44">
        <v>1</v>
      </c>
      <c r="AZ17" s="47"/>
      <c r="BA17" s="44"/>
      <c r="BB17" s="44"/>
      <c r="BC17" s="44"/>
    </row>
    <row r="18" spans="1:55" x14ac:dyDescent="0.25">
      <c r="A18">
        <v>10</v>
      </c>
      <c r="B18" s="1" t="str">
        <f>'1'!C13</f>
        <v>61642-VT020</v>
      </c>
      <c r="C18" s="48">
        <f>'1'!G13</f>
        <v>8</v>
      </c>
      <c r="D18" s="21"/>
      <c r="E18" s="21"/>
      <c r="F18" s="21"/>
      <c r="G18" s="44"/>
      <c r="H18" s="49">
        <v>1</v>
      </c>
      <c r="I18" s="44">
        <v>1</v>
      </c>
      <c r="J18" s="44"/>
      <c r="K18" s="44">
        <v>1</v>
      </c>
      <c r="L18" s="44"/>
      <c r="M18" s="45"/>
      <c r="N18" s="44">
        <v>1</v>
      </c>
      <c r="O18" s="44"/>
      <c r="P18" s="44">
        <v>1</v>
      </c>
      <c r="Q18" s="44"/>
      <c r="R18" s="45"/>
      <c r="S18" s="44">
        <v>1</v>
      </c>
      <c r="T18" s="44"/>
      <c r="U18" s="44">
        <v>1</v>
      </c>
      <c r="V18" s="44"/>
      <c r="W18" s="45"/>
      <c r="X18" s="44">
        <v>1</v>
      </c>
      <c r="Y18" s="44"/>
      <c r="Z18" s="50">
        <f t="shared" si="1"/>
        <v>8</v>
      </c>
      <c r="AA18" s="44"/>
      <c r="AB18" s="44"/>
      <c r="AC18" s="44"/>
      <c r="AD18" s="44"/>
      <c r="AE18" s="44"/>
      <c r="AF18" s="44"/>
      <c r="AG18" s="47"/>
      <c r="AH18" s="44"/>
      <c r="AI18" s="49">
        <v>1</v>
      </c>
      <c r="AJ18" s="44">
        <v>1</v>
      </c>
      <c r="AK18" s="44"/>
      <c r="AL18" s="44">
        <v>1</v>
      </c>
      <c r="AM18" s="44"/>
      <c r="AN18" s="44">
        <v>1</v>
      </c>
      <c r="AO18" s="44"/>
      <c r="AP18" s="45"/>
      <c r="AQ18" s="44">
        <v>1</v>
      </c>
      <c r="AR18" s="44"/>
      <c r="AS18" s="44">
        <v>1</v>
      </c>
      <c r="AT18" s="44"/>
      <c r="AU18" s="44">
        <v>1</v>
      </c>
      <c r="AV18" s="45"/>
      <c r="AW18" s="44"/>
      <c r="AX18" s="44">
        <v>1</v>
      </c>
      <c r="AY18" s="44"/>
      <c r="AZ18" s="47"/>
      <c r="BA18" s="44"/>
      <c r="BB18" s="44"/>
      <c r="BC18" s="44"/>
    </row>
    <row r="19" spans="1:55" ht="15.75" thickBot="1" x14ac:dyDescent="0.3">
      <c r="B19" s="35"/>
      <c r="C19" s="107" t="s">
        <v>99</v>
      </c>
      <c r="D19" s="108"/>
      <c r="E19" s="108"/>
      <c r="F19" s="109"/>
      <c r="G19" s="59">
        <f>SUM(G9:G18)</f>
        <v>4</v>
      </c>
      <c r="H19" s="59">
        <f t="shared" ref="H19:AY19" si="2">SUM(H9:H18)</f>
        <v>4</v>
      </c>
      <c r="I19" s="59">
        <f t="shared" si="2"/>
        <v>4</v>
      </c>
      <c r="J19" s="59">
        <f t="shared" si="2"/>
        <v>3</v>
      </c>
      <c r="K19" s="59">
        <f t="shared" si="2"/>
        <v>4</v>
      </c>
      <c r="L19" s="59">
        <f t="shared" si="2"/>
        <v>3</v>
      </c>
      <c r="M19" s="59">
        <f t="shared" si="2"/>
        <v>0</v>
      </c>
      <c r="N19" s="59">
        <f t="shared" si="2"/>
        <v>4</v>
      </c>
      <c r="O19" s="59">
        <f t="shared" si="2"/>
        <v>3</v>
      </c>
      <c r="P19" s="59">
        <f t="shared" si="2"/>
        <v>4</v>
      </c>
      <c r="Q19" s="59">
        <f t="shared" si="2"/>
        <v>3</v>
      </c>
      <c r="R19" s="59">
        <f t="shared" si="2"/>
        <v>0</v>
      </c>
      <c r="S19" s="59">
        <f t="shared" si="2"/>
        <v>4</v>
      </c>
      <c r="T19" s="59">
        <f t="shared" si="2"/>
        <v>3</v>
      </c>
      <c r="U19" s="59">
        <f t="shared" si="2"/>
        <v>4</v>
      </c>
      <c r="V19" s="59">
        <f t="shared" si="2"/>
        <v>3</v>
      </c>
      <c r="W19" s="59">
        <f t="shared" si="2"/>
        <v>0</v>
      </c>
      <c r="X19" s="59">
        <f t="shared" si="2"/>
        <v>4</v>
      </c>
      <c r="Y19" s="59">
        <f t="shared" si="2"/>
        <v>3</v>
      </c>
      <c r="Z19" s="59"/>
      <c r="AA19" s="59"/>
      <c r="AB19" s="59"/>
      <c r="AC19" s="59"/>
      <c r="AD19" s="59"/>
      <c r="AE19" s="59"/>
      <c r="AF19" s="59"/>
      <c r="AG19" s="59"/>
      <c r="AH19" s="59">
        <f t="shared" si="2"/>
        <v>4</v>
      </c>
      <c r="AI19" s="59">
        <f t="shared" si="2"/>
        <v>4</v>
      </c>
      <c r="AJ19" s="59">
        <f t="shared" si="2"/>
        <v>4</v>
      </c>
      <c r="AK19" s="59">
        <f t="shared" si="2"/>
        <v>3</v>
      </c>
      <c r="AL19" s="59">
        <f t="shared" si="2"/>
        <v>4</v>
      </c>
      <c r="AM19" s="59">
        <f t="shared" si="2"/>
        <v>3</v>
      </c>
      <c r="AN19" s="59">
        <f t="shared" si="2"/>
        <v>4</v>
      </c>
      <c r="AO19" s="59">
        <f t="shared" si="2"/>
        <v>3</v>
      </c>
      <c r="AP19" s="59">
        <f t="shared" si="2"/>
        <v>0</v>
      </c>
      <c r="AQ19" s="59">
        <f t="shared" si="2"/>
        <v>4</v>
      </c>
      <c r="AR19" s="59">
        <f t="shared" si="2"/>
        <v>3</v>
      </c>
      <c r="AS19" s="59">
        <f t="shared" si="2"/>
        <v>4</v>
      </c>
      <c r="AT19" s="59">
        <f t="shared" si="2"/>
        <v>3</v>
      </c>
      <c r="AU19" s="59">
        <f t="shared" si="2"/>
        <v>4</v>
      </c>
      <c r="AV19" s="59">
        <f t="shared" si="2"/>
        <v>0</v>
      </c>
      <c r="AW19" s="59">
        <f t="shared" si="2"/>
        <v>3</v>
      </c>
      <c r="AX19" s="59">
        <f t="shared" si="2"/>
        <v>4</v>
      </c>
      <c r="AY19" s="59">
        <f t="shared" si="2"/>
        <v>3</v>
      </c>
      <c r="AZ19" s="35"/>
      <c r="BA19" s="35"/>
      <c r="BB19" s="35"/>
      <c r="BC19" s="35"/>
    </row>
    <row r="20" spans="1:55" ht="15.75" thickTop="1" x14ac:dyDescent="0.25">
      <c r="B20" s="1"/>
      <c r="C20" s="1"/>
      <c r="D20" s="21"/>
      <c r="E20" s="21"/>
      <c r="F20" s="52"/>
      <c r="G20" s="81">
        <v>1</v>
      </c>
      <c r="H20" s="79">
        <v>5</v>
      </c>
      <c r="I20" s="79">
        <v>3</v>
      </c>
      <c r="J20" s="79">
        <v>7</v>
      </c>
      <c r="K20" s="79">
        <v>2</v>
      </c>
      <c r="L20" s="79">
        <v>6</v>
      </c>
      <c r="M20" s="83"/>
      <c r="N20" s="79">
        <v>4</v>
      </c>
      <c r="O20" s="80">
        <v>8</v>
      </c>
      <c r="P20" s="81">
        <v>1</v>
      </c>
      <c r="Q20" s="79">
        <v>5</v>
      </c>
      <c r="R20" s="83"/>
      <c r="S20" s="79">
        <v>3</v>
      </c>
      <c r="T20" s="79">
        <v>7</v>
      </c>
      <c r="U20" s="79">
        <v>2</v>
      </c>
      <c r="V20" s="79">
        <v>6</v>
      </c>
      <c r="W20" s="83"/>
      <c r="X20" s="79">
        <v>4</v>
      </c>
      <c r="Y20" s="80">
        <v>8</v>
      </c>
      <c r="Z20" s="53" t="s">
        <v>87</v>
      </c>
      <c r="AA20" s="21"/>
      <c r="AB20" s="21"/>
      <c r="AC20" s="21"/>
      <c r="AD20" s="21"/>
      <c r="AE20" s="21"/>
      <c r="AF20" s="21"/>
      <c r="AG20" s="74" t="s">
        <v>87</v>
      </c>
      <c r="AH20" s="81">
        <v>1</v>
      </c>
      <c r="AI20" s="79">
        <v>5</v>
      </c>
      <c r="AJ20" s="79">
        <v>3</v>
      </c>
      <c r="AK20" s="79">
        <v>7</v>
      </c>
      <c r="AL20" s="79">
        <v>2</v>
      </c>
      <c r="AM20" s="79">
        <v>6</v>
      </c>
      <c r="AN20" s="79">
        <v>4</v>
      </c>
      <c r="AO20" s="80">
        <v>8</v>
      </c>
      <c r="AP20" s="82"/>
      <c r="AQ20" s="81">
        <v>1</v>
      </c>
      <c r="AR20" s="79">
        <v>5</v>
      </c>
      <c r="AS20" s="79">
        <v>3</v>
      </c>
      <c r="AT20" s="79">
        <v>7</v>
      </c>
      <c r="AU20" s="79">
        <v>2</v>
      </c>
      <c r="AV20" s="83"/>
      <c r="AW20" s="79">
        <v>6</v>
      </c>
      <c r="AX20" s="79">
        <v>4</v>
      </c>
      <c r="AY20" s="80">
        <v>8</v>
      </c>
      <c r="AZ20" s="75" t="s">
        <v>87</v>
      </c>
      <c r="BA20" s="21"/>
      <c r="BB20" s="21"/>
      <c r="BC20" s="21"/>
    </row>
    <row r="21" spans="1:55" ht="15.75" thickBot="1" x14ac:dyDescent="0.3">
      <c r="B21" s="1" t="s">
        <v>56</v>
      </c>
      <c r="C21" s="1"/>
      <c r="D21" s="21">
        <f>32</f>
        <v>32</v>
      </c>
      <c r="E21" s="21">
        <f>32/4</f>
        <v>8</v>
      </c>
      <c r="F21" s="52">
        <f>32/4</f>
        <v>8</v>
      </c>
      <c r="G21" s="89" t="s">
        <v>85</v>
      </c>
      <c r="H21" s="90"/>
      <c r="I21" s="90"/>
      <c r="J21" s="90"/>
      <c r="K21" s="90"/>
      <c r="L21" s="90"/>
      <c r="M21" s="91"/>
      <c r="N21" s="90"/>
      <c r="O21" s="92"/>
      <c r="P21" s="89" t="s">
        <v>86</v>
      </c>
      <c r="Q21" s="90"/>
      <c r="R21" s="91"/>
      <c r="S21" s="90"/>
      <c r="T21" s="90"/>
      <c r="U21" s="90"/>
      <c r="V21" s="90"/>
      <c r="W21" s="91"/>
      <c r="X21" s="90"/>
      <c r="Y21" s="92"/>
      <c r="Z21" s="53" t="s">
        <v>87</v>
      </c>
      <c r="AA21" s="39" t="s">
        <v>87</v>
      </c>
      <c r="AB21" s="39" t="s">
        <v>87</v>
      </c>
      <c r="AC21" s="39" t="s">
        <v>87</v>
      </c>
      <c r="AD21" s="39" t="s">
        <v>87</v>
      </c>
      <c r="AE21" s="39" t="s">
        <v>87</v>
      </c>
      <c r="AF21" s="39" t="s">
        <v>87</v>
      </c>
      <c r="AG21" s="74" t="s">
        <v>87</v>
      </c>
      <c r="AH21" s="89" t="s">
        <v>92</v>
      </c>
      <c r="AI21" s="90"/>
      <c r="AJ21" s="90"/>
      <c r="AK21" s="90"/>
      <c r="AL21" s="90"/>
      <c r="AM21" s="90"/>
      <c r="AN21" s="90"/>
      <c r="AO21" s="92"/>
      <c r="AP21" s="97" t="s">
        <v>87</v>
      </c>
      <c r="AQ21" s="89" t="s">
        <v>89</v>
      </c>
      <c r="AR21" s="90"/>
      <c r="AS21" s="90"/>
      <c r="AT21" s="90"/>
      <c r="AU21" s="90"/>
      <c r="AV21" s="91"/>
      <c r="AW21" s="90"/>
      <c r="AX21" s="90"/>
      <c r="AY21" s="92"/>
      <c r="AZ21" s="75" t="s">
        <v>87</v>
      </c>
      <c r="BA21" s="21"/>
      <c r="BB21" s="21"/>
      <c r="BC21" s="21"/>
    </row>
    <row r="22" spans="1:55" ht="15.75" thickTop="1" x14ac:dyDescent="0.25">
      <c r="A22">
        <v>1</v>
      </c>
      <c r="B22" s="1" t="str">
        <f>'1'!C14</f>
        <v>B113-97514</v>
      </c>
      <c r="C22" s="48">
        <f>'1'!G14</f>
        <v>6</v>
      </c>
      <c r="D22" s="21"/>
      <c r="E22" s="21"/>
      <c r="F22" s="21"/>
      <c r="G22" s="55">
        <v>1</v>
      </c>
      <c r="H22" s="55">
        <v>1</v>
      </c>
      <c r="I22" s="55">
        <v>1</v>
      </c>
      <c r="J22" s="55"/>
      <c r="K22" s="55">
        <v>1</v>
      </c>
      <c r="L22" s="57">
        <v>1</v>
      </c>
      <c r="M22" s="56"/>
      <c r="N22" s="55">
        <v>1</v>
      </c>
      <c r="O22" s="55"/>
      <c r="P22" s="55">
        <v>1</v>
      </c>
      <c r="Q22" s="55">
        <v>1</v>
      </c>
      <c r="R22" s="56"/>
      <c r="S22" s="55">
        <v>1</v>
      </c>
      <c r="T22" s="55"/>
      <c r="U22" s="55">
        <v>1</v>
      </c>
      <c r="V22" s="57">
        <v>1</v>
      </c>
      <c r="W22" s="56"/>
      <c r="X22" s="55">
        <v>1</v>
      </c>
      <c r="Y22" s="55"/>
      <c r="Z22" s="50">
        <f t="shared" ref="Z22:Z37" si="3">SUM(G22:Y22)</f>
        <v>12</v>
      </c>
      <c r="AA22" s="44"/>
      <c r="AB22" s="44"/>
      <c r="AC22" s="44"/>
      <c r="AD22" s="44"/>
      <c r="AE22" s="44"/>
      <c r="AF22" s="44"/>
      <c r="AG22" s="47"/>
      <c r="AH22" s="55">
        <v>1</v>
      </c>
      <c r="AI22" s="55">
        <v>1</v>
      </c>
      <c r="AJ22" s="55">
        <v>1</v>
      </c>
      <c r="AK22" s="55"/>
      <c r="AL22" s="55">
        <v>1</v>
      </c>
      <c r="AM22" s="57">
        <v>1</v>
      </c>
      <c r="AN22" s="55">
        <v>1</v>
      </c>
      <c r="AO22" s="55"/>
      <c r="AP22" s="45"/>
      <c r="AQ22" s="55">
        <v>1</v>
      </c>
      <c r="AR22" s="55">
        <v>1</v>
      </c>
      <c r="AS22" s="55">
        <v>1</v>
      </c>
      <c r="AT22" s="55"/>
      <c r="AU22" s="55">
        <v>1</v>
      </c>
      <c r="AV22" s="56"/>
      <c r="AW22" s="57">
        <v>1</v>
      </c>
      <c r="AX22" s="55">
        <v>1</v>
      </c>
      <c r="AY22" s="55"/>
      <c r="AZ22" s="47"/>
      <c r="BA22" s="44"/>
      <c r="BB22" s="44"/>
      <c r="BC22" s="44"/>
    </row>
    <row r="23" spans="1:55" x14ac:dyDescent="0.25">
      <c r="A23">
        <v>2</v>
      </c>
      <c r="B23" s="1" t="str">
        <f>'1'!C15</f>
        <v>B111-97510</v>
      </c>
      <c r="C23" s="48">
        <f>'1'!G15</f>
        <v>5</v>
      </c>
      <c r="D23" s="21"/>
      <c r="E23" s="21"/>
      <c r="F23" s="21"/>
      <c r="G23" s="44">
        <v>1</v>
      </c>
      <c r="H23" s="44"/>
      <c r="I23" s="49">
        <v>1</v>
      </c>
      <c r="J23" s="44">
        <v>1</v>
      </c>
      <c r="K23" s="44">
        <v>1</v>
      </c>
      <c r="L23" s="44"/>
      <c r="M23" s="45"/>
      <c r="N23" s="44"/>
      <c r="O23" s="44">
        <v>1</v>
      </c>
      <c r="P23" s="44">
        <v>1</v>
      </c>
      <c r="Q23" s="44"/>
      <c r="R23" s="45"/>
      <c r="S23" s="49">
        <v>1</v>
      </c>
      <c r="T23" s="44">
        <v>1</v>
      </c>
      <c r="U23" s="44">
        <v>1</v>
      </c>
      <c r="V23" s="44"/>
      <c r="W23" s="45"/>
      <c r="X23" s="44"/>
      <c r="Y23" s="44">
        <v>1</v>
      </c>
      <c r="Z23" s="50">
        <f t="shared" si="3"/>
        <v>10</v>
      </c>
      <c r="AA23" s="44"/>
      <c r="AB23" s="44"/>
      <c r="AC23" s="44"/>
      <c r="AD23" s="44"/>
      <c r="AE23" s="44"/>
      <c r="AF23" s="44"/>
      <c r="AG23" s="47"/>
      <c r="AH23" s="44">
        <v>1</v>
      </c>
      <c r="AI23" s="44"/>
      <c r="AJ23" s="49">
        <v>1</v>
      </c>
      <c r="AK23" s="44">
        <v>1</v>
      </c>
      <c r="AL23" s="44">
        <v>1</v>
      </c>
      <c r="AM23" s="44"/>
      <c r="AN23" s="44"/>
      <c r="AO23" s="44">
        <v>1</v>
      </c>
      <c r="AP23" s="45"/>
      <c r="AQ23" s="44">
        <v>1</v>
      </c>
      <c r="AR23" s="44"/>
      <c r="AS23" s="49">
        <v>1</v>
      </c>
      <c r="AT23" s="44">
        <v>1</v>
      </c>
      <c r="AU23" s="44">
        <v>1</v>
      </c>
      <c r="AV23" s="45"/>
      <c r="AW23" s="44"/>
      <c r="AX23" s="44"/>
      <c r="AY23" s="44">
        <v>1</v>
      </c>
      <c r="AZ23" s="47"/>
      <c r="BA23" s="44"/>
      <c r="BB23" s="44"/>
      <c r="BC23" s="44"/>
    </row>
    <row r="24" spans="1:55" x14ac:dyDescent="0.25">
      <c r="A24">
        <v>3</v>
      </c>
      <c r="B24" s="1" t="str">
        <f>'1'!C16</f>
        <v>B122-97505</v>
      </c>
      <c r="C24" s="48">
        <f>'1'!G16</f>
        <v>6</v>
      </c>
      <c r="D24" s="21"/>
      <c r="E24" s="21"/>
      <c r="F24" s="21"/>
      <c r="G24" s="49">
        <v>1</v>
      </c>
      <c r="H24" s="44">
        <v>1</v>
      </c>
      <c r="I24" s="44"/>
      <c r="J24" s="44">
        <v>1</v>
      </c>
      <c r="K24" s="44"/>
      <c r="L24" s="44">
        <v>1</v>
      </c>
      <c r="M24" s="45"/>
      <c r="N24" s="44">
        <v>1</v>
      </c>
      <c r="O24" s="44">
        <v>1</v>
      </c>
      <c r="P24" s="49">
        <v>1</v>
      </c>
      <c r="Q24" s="44">
        <v>1</v>
      </c>
      <c r="R24" s="45"/>
      <c r="S24" s="44"/>
      <c r="T24" s="44">
        <v>1</v>
      </c>
      <c r="U24" s="44"/>
      <c r="V24" s="44">
        <v>1</v>
      </c>
      <c r="W24" s="45"/>
      <c r="X24" s="44">
        <v>1</v>
      </c>
      <c r="Y24" s="44">
        <v>1</v>
      </c>
      <c r="Z24" s="50">
        <f t="shared" si="3"/>
        <v>12</v>
      </c>
      <c r="AA24" s="44"/>
      <c r="AB24" s="44"/>
      <c r="AC24" s="44"/>
      <c r="AD24" s="44"/>
      <c r="AE24" s="44"/>
      <c r="AF24" s="44"/>
      <c r="AG24" s="47"/>
      <c r="AH24" s="49">
        <v>1</v>
      </c>
      <c r="AI24" s="44">
        <v>1</v>
      </c>
      <c r="AJ24" s="44"/>
      <c r="AK24" s="44">
        <v>1</v>
      </c>
      <c r="AL24" s="44"/>
      <c r="AM24" s="44">
        <v>1</v>
      </c>
      <c r="AN24" s="44">
        <v>1</v>
      </c>
      <c r="AO24" s="44">
        <v>1</v>
      </c>
      <c r="AP24" s="45"/>
      <c r="AQ24" s="49">
        <v>1</v>
      </c>
      <c r="AR24" s="44">
        <v>1</v>
      </c>
      <c r="AS24" s="44"/>
      <c r="AT24" s="44">
        <v>1</v>
      </c>
      <c r="AU24" s="44"/>
      <c r="AV24" s="45"/>
      <c r="AW24" s="44">
        <v>1</v>
      </c>
      <c r="AX24" s="44">
        <v>1</v>
      </c>
      <c r="AY24" s="44">
        <v>1</v>
      </c>
      <c r="AZ24" s="47"/>
      <c r="BA24" s="44"/>
      <c r="BB24" s="44"/>
      <c r="BC24" s="44"/>
    </row>
    <row r="25" spans="1:55" x14ac:dyDescent="0.25">
      <c r="A25">
        <v>4</v>
      </c>
      <c r="B25" s="1" t="str">
        <f>'1'!C17</f>
        <v>B121-97514</v>
      </c>
      <c r="C25" s="48">
        <f>'1'!G17</f>
        <v>8</v>
      </c>
      <c r="D25" s="21"/>
      <c r="E25" s="21"/>
      <c r="F25" s="21"/>
      <c r="G25" s="49">
        <v>1</v>
      </c>
      <c r="H25" s="44">
        <v>1</v>
      </c>
      <c r="I25" s="44">
        <v>1</v>
      </c>
      <c r="J25" s="44">
        <v>1</v>
      </c>
      <c r="K25" s="44">
        <v>1</v>
      </c>
      <c r="L25" s="44">
        <v>1</v>
      </c>
      <c r="M25" s="45"/>
      <c r="N25" s="44">
        <v>1</v>
      </c>
      <c r="O25" s="44">
        <v>1</v>
      </c>
      <c r="P25" s="49">
        <v>1</v>
      </c>
      <c r="Q25" s="44">
        <v>1</v>
      </c>
      <c r="R25" s="45"/>
      <c r="S25" s="44">
        <v>1</v>
      </c>
      <c r="T25" s="44">
        <v>1</v>
      </c>
      <c r="U25" s="44">
        <v>1</v>
      </c>
      <c r="V25" s="44">
        <v>1</v>
      </c>
      <c r="W25" s="45"/>
      <c r="X25" s="44">
        <v>1</v>
      </c>
      <c r="Y25" s="44">
        <v>1</v>
      </c>
      <c r="Z25" s="50">
        <f t="shared" si="3"/>
        <v>16</v>
      </c>
      <c r="AA25" s="44"/>
      <c r="AB25" s="44"/>
      <c r="AC25" s="44"/>
      <c r="AD25" s="44"/>
      <c r="AE25" s="44"/>
      <c r="AF25" s="44"/>
      <c r="AG25" s="47"/>
      <c r="AH25" s="49">
        <v>1</v>
      </c>
      <c r="AI25" s="44">
        <v>1</v>
      </c>
      <c r="AJ25" s="44">
        <v>1</v>
      </c>
      <c r="AK25" s="44">
        <v>1</v>
      </c>
      <c r="AL25" s="44">
        <v>1</v>
      </c>
      <c r="AM25" s="44">
        <v>1</v>
      </c>
      <c r="AN25" s="44">
        <v>1</v>
      </c>
      <c r="AO25" s="44">
        <v>1</v>
      </c>
      <c r="AP25" s="45"/>
      <c r="AQ25" s="49">
        <v>1</v>
      </c>
      <c r="AR25" s="44">
        <v>1</v>
      </c>
      <c r="AS25" s="44">
        <v>1</v>
      </c>
      <c r="AT25" s="44">
        <v>1</v>
      </c>
      <c r="AU25" s="44">
        <v>1</v>
      </c>
      <c r="AV25" s="45"/>
      <c r="AW25" s="44">
        <v>1</v>
      </c>
      <c r="AX25" s="44">
        <v>1</v>
      </c>
      <c r="AY25" s="44">
        <v>1</v>
      </c>
      <c r="AZ25" s="47"/>
      <c r="BA25" s="44"/>
      <c r="BB25" s="44"/>
      <c r="BC25" s="44"/>
    </row>
    <row r="26" spans="1:55" x14ac:dyDescent="0.25">
      <c r="A26">
        <v>5</v>
      </c>
      <c r="B26" s="1" t="str">
        <f>'1'!C18</f>
        <v>B121-97512</v>
      </c>
      <c r="C26" s="48">
        <f>'1'!G18</f>
        <v>7</v>
      </c>
      <c r="D26" s="21"/>
      <c r="E26" s="21"/>
      <c r="F26" s="21"/>
      <c r="G26" s="44"/>
      <c r="H26" s="44">
        <v>1</v>
      </c>
      <c r="I26" s="44">
        <v>1</v>
      </c>
      <c r="J26" s="44">
        <v>1</v>
      </c>
      <c r="K26" s="44">
        <v>1</v>
      </c>
      <c r="L26" s="44">
        <v>1</v>
      </c>
      <c r="M26" s="45"/>
      <c r="N26" s="44">
        <v>1</v>
      </c>
      <c r="O26" s="49">
        <v>1</v>
      </c>
      <c r="P26" s="44"/>
      <c r="Q26" s="44">
        <v>1</v>
      </c>
      <c r="R26" s="45"/>
      <c r="S26" s="44">
        <v>1</v>
      </c>
      <c r="T26" s="44">
        <v>1</v>
      </c>
      <c r="U26" s="44">
        <v>1</v>
      </c>
      <c r="V26" s="44">
        <v>1</v>
      </c>
      <c r="W26" s="45"/>
      <c r="X26" s="44">
        <v>1</v>
      </c>
      <c r="Y26" s="49">
        <v>1</v>
      </c>
      <c r="Z26" s="50">
        <f t="shared" si="3"/>
        <v>14</v>
      </c>
      <c r="AA26" s="44"/>
      <c r="AB26" s="44"/>
      <c r="AC26" s="44"/>
      <c r="AD26" s="44"/>
      <c r="AE26" s="44"/>
      <c r="AF26" s="44"/>
      <c r="AG26" s="47"/>
      <c r="AH26" s="44"/>
      <c r="AI26" s="44">
        <v>1</v>
      </c>
      <c r="AJ26" s="44">
        <v>1</v>
      </c>
      <c r="AK26" s="44">
        <v>1</v>
      </c>
      <c r="AL26" s="44">
        <v>1</v>
      </c>
      <c r="AM26" s="44">
        <v>1</v>
      </c>
      <c r="AN26" s="44">
        <v>1</v>
      </c>
      <c r="AO26" s="49">
        <v>1</v>
      </c>
      <c r="AP26" s="45"/>
      <c r="AQ26" s="44"/>
      <c r="AR26" s="44">
        <v>1</v>
      </c>
      <c r="AS26" s="44">
        <v>1</v>
      </c>
      <c r="AT26" s="44">
        <v>1</v>
      </c>
      <c r="AU26" s="44">
        <v>1</v>
      </c>
      <c r="AV26" s="45"/>
      <c r="AW26" s="44">
        <v>1</v>
      </c>
      <c r="AX26" s="44">
        <v>1</v>
      </c>
      <c r="AY26" s="49">
        <v>1</v>
      </c>
      <c r="AZ26" s="47"/>
      <c r="BA26" s="44"/>
      <c r="BB26" s="44"/>
      <c r="BC26" s="44"/>
    </row>
    <row r="27" spans="1:55" x14ac:dyDescent="0.25">
      <c r="A27">
        <v>6</v>
      </c>
      <c r="B27" s="1" t="str">
        <f>'1'!C19</f>
        <v>B114-97515</v>
      </c>
      <c r="C27" s="48">
        <f>'1'!G19</f>
        <v>6</v>
      </c>
      <c r="D27" s="21"/>
      <c r="E27" s="21"/>
      <c r="F27" s="21"/>
      <c r="G27" s="44">
        <v>1</v>
      </c>
      <c r="H27" s="44">
        <v>1</v>
      </c>
      <c r="I27" s="44">
        <v>1</v>
      </c>
      <c r="J27" s="44"/>
      <c r="K27" s="44">
        <v>1</v>
      </c>
      <c r="L27" s="49">
        <v>1</v>
      </c>
      <c r="M27" s="45"/>
      <c r="N27" s="44">
        <v>1</v>
      </c>
      <c r="O27" s="44"/>
      <c r="P27" s="44">
        <v>1</v>
      </c>
      <c r="Q27" s="44">
        <v>1</v>
      </c>
      <c r="R27" s="45"/>
      <c r="S27" s="44">
        <v>1</v>
      </c>
      <c r="T27" s="44"/>
      <c r="U27" s="44">
        <v>1</v>
      </c>
      <c r="V27" s="49">
        <v>1</v>
      </c>
      <c r="W27" s="45"/>
      <c r="X27" s="44">
        <v>1</v>
      </c>
      <c r="Y27" s="44"/>
      <c r="Z27" s="50">
        <f t="shared" si="3"/>
        <v>12</v>
      </c>
      <c r="AA27" s="44"/>
      <c r="AB27" s="44"/>
      <c r="AC27" s="44"/>
      <c r="AD27" s="44"/>
      <c r="AE27" s="44"/>
      <c r="AF27" s="44"/>
      <c r="AG27" s="47"/>
      <c r="AH27" s="44">
        <v>1</v>
      </c>
      <c r="AI27" s="44">
        <v>1</v>
      </c>
      <c r="AJ27" s="44">
        <v>1</v>
      </c>
      <c r="AK27" s="44"/>
      <c r="AL27" s="44">
        <v>1</v>
      </c>
      <c r="AM27" s="49">
        <v>1</v>
      </c>
      <c r="AN27" s="44">
        <v>1</v>
      </c>
      <c r="AO27" s="44"/>
      <c r="AP27" s="45"/>
      <c r="AQ27" s="44">
        <v>1</v>
      </c>
      <c r="AR27" s="44">
        <v>1</v>
      </c>
      <c r="AS27" s="44">
        <v>1</v>
      </c>
      <c r="AT27" s="44"/>
      <c r="AU27" s="44">
        <v>1</v>
      </c>
      <c r="AV27" s="45"/>
      <c r="AW27" s="49">
        <v>1</v>
      </c>
      <c r="AX27" s="44">
        <v>1</v>
      </c>
      <c r="AY27" s="44"/>
      <c r="AZ27" s="47"/>
      <c r="BA27" s="44"/>
      <c r="BB27" s="44"/>
      <c r="BC27" s="44"/>
    </row>
    <row r="28" spans="1:55" x14ac:dyDescent="0.25">
      <c r="A28">
        <v>7</v>
      </c>
      <c r="B28" s="1" t="str">
        <f>'1'!C20</f>
        <v>B121-97515</v>
      </c>
      <c r="C28" s="48">
        <f>'1'!G20</f>
        <v>6</v>
      </c>
      <c r="D28" s="21"/>
      <c r="E28" s="21"/>
      <c r="F28" s="21"/>
      <c r="G28" s="44">
        <v>1</v>
      </c>
      <c r="H28" s="44"/>
      <c r="I28" s="44">
        <v>1</v>
      </c>
      <c r="J28" s="44">
        <v>1</v>
      </c>
      <c r="K28" s="44">
        <v>1</v>
      </c>
      <c r="L28" s="44"/>
      <c r="M28" s="45"/>
      <c r="N28" s="49">
        <v>1</v>
      </c>
      <c r="O28" s="44">
        <v>1</v>
      </c>
      <c r="P28" s="44">
        <v>1</v>
      </c>
      <c r="Q28" s="44"/>
      <c r="R28" s="45"/>
      <c r="S28" s="44">
        <v>1</v>
      </c>
      <c r="T28" s="44">
        <v>1</v>
      </c>
      <c r="U28" s="44">
        <v>1</v>
      </c>
      <c r="V28" s="44"/>
      <c r="W28" s="45"/>
      <c r="X28" s="49">
        <v>1</v>
      </c>
      <c r="Y28" s="44">
        <v>1</v>
      </c>
      <c r="Z28" s="50">
        <f t="shared" si="3"/>
        <v>12</v>
      </c>
      <c r="AA28" s="44"/>
      <c r="AB28" s="44"/>
      <c r="AC28" s="44"/>
      <c r="AD28" s="44"/>
      <c r="AE28" s="44"/>
      <c r="AF28" s="44"/>
      <c r="AG28" s="47"/>
      <c r="AH28" s="44">
        <v>1</v>
      </c>
      <c r="AI28" s="44"/>
      <c r="AJ28" s="44">
        <v>1</v>
      </c>
      <c r="AK28" s="44">
        <v>1</v>
      </c>
      <c r="AL28" s="44">
        <v>1</v>
      </c>
      <c r="AM28" s="44"/>
      <c r="AN28" s="49">
        <v>1</v>
      </c>
      <c r="AO28" s="44">
        <v>1</v>
      </c>
      <c r="AP28" s="45"/>
      <c r="AQ28" s="44">
        <v>1</v>
      </c>
      <c r="AR28" s="44"/>
      <c r="AS28" s="44">
        <v>1</v>
      </c>
      <c r="AT28" s="44">
        <v>1</v>
      </c>
      <c r="AU28" s="44">
        <v>1</v>
      </c>
      <c r="AV28" s="45"/>
      <c r="AW28" s="44"/>
      <c r="AX28" s="49">
        <v>1</v>
      </c>
      <c r="AY28" s="44">
        <v>1</v>
      </c>
      <c r="AZ28" s="47"/>
      <c r="BA28" s="44"/>
      <c r="BB28" s="44"/>
      <c r="BC28" s="44"/>
    </row>
    <row r="29" spans="1:55" x14ac:dyDescent="0.25">
      <c r="A29">
        <v>8</v>
      </c>
      <c r="B29" s="1" t="str">
        <f>'1'!C21</f>
        <v>B111-97511</v>
      </c>
      <c r="C29" s="48">
        <f>'1'!G21</f>
        <v>6</v>
      </c>
      <c r="D29" s="21"/>
      <c r="E29" s="21"/>
      <c r="F29" s="21"/>
      <c r="G29" s="44">
        <v>1</v>
      </c>
      <c r="H29" s="44">
        <v>1</v>
      </c>
      <c r="I29" s="44"/>
      <c r="J29" s="44">
        <v>1</v>
      </c>
      <c r="K29" s="49">
        <v>1</v>
      </c>
      <c r="L29" s="44">
        <v>1</v>
      </c>
      <c r="M29" s="45"/>
      <c r="N29" s="44"/>
      <c r="O29" s="44">
        <v>1</v>
      </c>
      <c r="P29" s="44">
        <v>1</v>
      </c>
      <c r="Q29" s="44">
        <v>1</v>
      </c>
      <c r="R29" s="45"/>
      <c r="S29" s="44"/>
      <c r="T29" s="44">
        <v>1</v>
      </c>
      <c r="U29" s="49">
        <v>1</v>
      </c>
      <c r="V29" s="44">
        <v>1</v>
      </c>
      <c r="W29" s="45"/>
      <c r="X29" s="44"/>
      <c r="Y29" s="44">
        <v>1</v>
      </c>
      <c r="Z29" s="50">
        <f t="shared" si="3"/>
        <v>12</v>
      </c>
      <c r="AA29" s="44"/>
      <c r="AB29" s="44"/>
      <c r="AC29" s="44"/>
      <c r="AD29" s="44"/>
      <c r="AE29" s="44"/>
      <c r="AF29" s="44"/>
      <c r="AG29" s="47"/>
      <c r="AH29" s="44">
        <v>1</v>
      </c>
      <c r="AI29" s="44">
        <v>1</v>
      </c>
      <c r="AJ29" s="44"/>
      <c r="AK29" s="44">
        <v>1</v>
      </c>
      <c r="AL29" s="49">
        <v>1</v>
      </c>
      <c r="AM29" s="44">
        <v>1</v>
      </c>
      <c r="AN29" s="44"/>
      <c r="AO29" s="44">
        <v>1</v>
      </c>
      <c r="AP29" s="45"/>
      <c r="AQ29" s="44">
        <v>1</v>
      </c>
      <c r="AR29" s="44">
        <v>1</v>
      </c>
      <c r="AS29" s="44"/>
      <c r="AT29" s="44">
        <v>1</v>
      </c>
      <c r="AU29" s="49">
        <v>1</v>
      </c>
      <c r="AV29" s="45"/>
      <c r="AW29" s="44">
        <v>1</v>
      </c>
      <c r="AX29" s="44"/>
      <c r="AY29" s="44">
        <v>1</v>
      </c>
      <c r="AZ29" s="47"/>
      <c r="BA29" s="44"/>
      <c r="BB29" s="44"/>
      <c r="BC29" s="44"/>
    </row>
    <row r="30" spans="1:55" x14ac:dyDescent="0.25">
      <c r="A30">
        <v>9</v>
      </c>
      <c r="B30" s="1" t="str">
        <f>'1'!C22</f>
        <v>B121-97517</v>
      </c>
      <c r="C30" s="48">
        <f>'1'!G22</f>
        <v>2</v>
      </c>
      <c r="D30" s="21"/>
      <c r="E30" s="21"/>
      <c r="F30" s="21"/>
      <c r="G30" s="44"/>
      <c r="H30" s="44"/>
      <c r="I30" s="44">
        <v>1</v>
      </c>
      <c r="J30" s="44"/>
      <c r="K30" s="44"/>
      <c r="L30" s="44"/>
      <c r="M30" s="45"/>
      <c r="N30" s="49">
        <v>1</v>
      </c>
      <c r="O30" s="44"/>
      <c r="P30" s="44"/>
      <c r="Q30" s="44"/>
      <c r="R30" s="45"/>
      <c r="S30" s="44">
        <v>1</v>
      </c>
      <c r="T30" s="44"/>
      <c r="U30" s="44"/>
      <c r="V30" s="44"/>
      <c r="W30" s="45"/>
      <c r="X30" s="49">
        <v>1</v>
      </c>
      <c r="Y30" s="44"/>
      <c r="Z30" s="50">
        <f t="shared" si="3"/>
        <v>4</v>
      </c>
      <c r="AA30" s="44"/>
      <c r="AB30" s="44"/>
      <c r="AC30" s="44"/>
      <c r="AD30" s="44"/>
      <c r="AE30" s="44"/>
      <c r="AF30" s="44"/>
      <c r="AG30" s="47"/>
      <c r="AH30" s="44"/>
      <c r="AI30" s="44"/>
      <c r="AJ30" s="44">
        <v>1</v>
      </c>
      <c r="AK30" s="44"/>
      <c r="AL30" s="44"/>
      <c r="AM30" s="44"/>
      <c r="AN30" s="49">
        <v>1</v>
      </c>
      <c r="AO30" s="44"/>
      <c r="AP30" s="45"/>
      <c r="AQ30" s="44"/>
      <c r="AR30" s="44"/>
      <c r="AS30" s="44">
        <v>1</v>
      </c>
      <c r="AT30" s="44"/>
      <c r="AU30" s="44"/>
      <c r="AV30" s="45"/>
      <c r="AW30" s="44"/>
      <c r="AX30" s="49">
        <v>1</v>
      </c>
      <c r="AY30" s="44"/>
      <c r="AZ30" s="47"/>
      <c r="BA30" s="44"/>
      <c r="BB30" s="44"/>
      <c r="BC30" s="44"/>
    </row>
    <row r="31" spans="1:55" x14ac:dyDescent="0.25">
      <c r="A31">
        <v>10</v>
      </c>
      <c r="B31" s="1" t="str">
        <f>'1'!C23</f>
        <v>B111-97505</v>
      </c>
      <c r="C31" s="48">
        <f>'1'!G23</f>
        <v>3</v>
      </c>
      <c r="D31" s="21"/>
      <c r="E31" s="21"/>
      <c r="F31" s="21"/>
      <c r="G31" s="44"/>
      <c r="H31" s="44">
        <v>1</v>
      </c>
      <c r="I31" s="44"/>
      <c r="J31" s="49">
        <v>1</v>
      </c>
      <c r="K31" s="44"/>
      <c r="L31" s="44">
        <v>1</v>
      </c>
      <c r="M31" s="45"/>
      <c r="N31" s="44"/>
      <c r="O31" s="44"/>
      <c r="P31" s="44"/>
      <c r="Q31" s="44">
        <v>1</v>
      </c>
      <c r="R31" s="45"/>
      <c r="S31" s="44"/>
      <c r="T31" s="49">
        <v>1</v>
      </c>
      <c r="U31" s="44"/>
      <c r="V31" s="44">
        <v>1</v>
      </c>
      <c r="W31" s="45"/>
      <c r="X31" s="44"/>
      <c r="Y31" s="44"/>
      <c r="Z31" s="50">
        <f t="shared" si="3"/>
        <v>6</v>
      </c>
      <c r="AA31" s="44"/>
      <c r="AB31" s="44"/>
      <c r="AC31" s="44"/>
      <c r="AD31" s="44"/>
      <c r="AE31" s="44"/>
      <c r="AF31" s="44"/>
      <c r="AG31" s="47"/>
      <c r="AH31" s="44"/>
      <c r="AI31" s="44">
        <v>1</v>
      </c>
      <c r="AJ31" s="44"/>
      <c r="AK31" s="49">
        <v>1</v>
      </c>
      <c r="AL31" s="44"/>
      <c r="AM31" s="44">
        <v>1</v>
      </c>
      <c r="AN31" s="44"/>
      <c r="AO31" s="44"/>
      <c r="AP31" s="45"/>
      <c r="AQ31" s="44"/>
      <c r="AR31" s="44">
        <v>1</v>
      </c>
      <c r="AS31" s="44"/>
      <c r="AT31" s="49">
        <v>1</v>
      </c>
      <c r="AU31" s="44"/>
      <c r="AV31" s="45"/>
      <c r="AW31" s="44">
        <v>1</v>
      </c>
      <c r="AX31" s="44"/>
      <c r="AY31" s="44"/>
      <c r="AZ31" s="47"/>
      <c r="BA31" s="44"/>
      <c r="BB31" s="44"/>
      <c r="BC31" s="44"/>
    </row>
    <row r="32" spans="1:55" x14ac:dyDescent="0.25">
      <c r="A32">
        <v>11</v>
      </c>
      <c r="B32" s="1" t="str">
        <f>'1'!C24</f>
        <v>B114-97512</v>
      </c>
      <c r="C32" s="48">
        <f>'1'!G24</f>
        <v>3</v>
      </c>
      <c r="D32" s="21"/>
      <c r="E32" s="21"/>
      <c r="F32" s="21"/>
      <c r="G32" s="44">
        <v>1</v>
      </c>
      <c r="H32" s="44"/>
      <c r="I32" s="44"/>
      <c r="J32" s="44"/>
      <c r="K32" s="49">
        <v>1</v>
      </c>
      <c r="L32" s="44"/>
      <c r="M32" s="45"/>
      <c r="N32" s="44"/>
      <c r="O32" s="44">
        <v>1</v>
      </c>
      <c r="P32" s="44">
        <v>1</v>
      </c>
      <c r="Q32" s="44"/>
      <c r="R32" s="45"/>
      <c r="S32" s="44"/>
      <c r="T32" s="44"/>
      <c r="U32" s="49">
        <v>1</v>
      </c>
      <c r="V32" s="44"/>
      <c r="W32" s="45"/>
      <c r="X32" s="44"/>
      <c r="Y32" s="44">
        <v>1</v>
      </c>
      <c r="Z32" s="50">
        <f t="shared" si="3"/>
        <v>6</v>
      </c>
      <c r="AA32" s="44"/>
      <c r="AB32" s="44"/>
      <c r="AC32" s="44"/>
      <c r="AD32" s="44"/>
      <c r="AE32" s="44"/>
      <c r="AF32" s="44"/>
      <c r="AG32" s="47"/>
      <c r="AH32" s="44">
        <v>1</v>
      </c>
      <c r="AI32" s="44"/>
      <c r="AJ32" s="44"/>
      <c r="AK32" s="44"/>
      <c r="AL32" s="49">
        <v>1</v>
      </c>
      <c r="AM32" s="44"/>
      <c r="AN32" s="44"/>
      <c r="AO32" s="44">
        <v>1</v>
      </c>
      <c r="AP32" s="45"/>
      <c r="AQ32" s="44">
        <v>1</v>
      </c>
      <c r="AR32" s="44"/>
      <c r="AS32" s="44"/>
      <c r="AT32" s="44"/>
      <c r="AU32" s="49">
        <v>1</v>
      </c>
      <c r="AV32" s="45"/>
      <c r="AW32" s="44"/>
      <c r="AX32" s="44"/>
      <c r="AY32" s="44">
        <v>1</v>
      </c>
      <c r="AZ32" s="47"/>
      <c r="BA32" s="44"/>
      <c r="BB32" s="44"/>
      <c r="BC32" s="44"/>
    </row>
    <row r="33" spans="1:55" x14ac:dyDescent="0.25">
      <c r="A33">
        <v>12</v>
      </c>
      <c r="B33" s="1" t="str">
        <f>'1'!C25</f>
        <v>B122-97504</v>
      </c>
      <c r="C33" s="48">
        <f>'1'!G25</f>
        <v>1</v>
      </c>
      <c r="D33" s="21"/>
      <c r="E33" s="21"/>
      <c r="F33" s="21"/>
      <c r="G33" s="44"/>
      <c r="H33" s="44"/>
      <c r="I33" s="44"/>
      <c r="J33" s="44"/>
      <c r="K33" s="44"/>
      <c r="L33" s="44"/>
      <c r="M33" s="45"/>
      <c r="N33" s="49">
        <v>1</v>
      </c>
      <c r="O33" s="44"/>
      <c r="P33" s="44"/>
      <c r="Q33" s="44"/>
      <c r="R33" s="45"/>
      <c r="S33" s="44"/>
      <c r="T33" s="44"/>
      <c r="U33" s="44"/>
      <c r="V33" s="44"/>
      <c r="W33" s="45"/>
      <c r="X33" s="49">
        <v>1</v>
      </c>
      <c r="Y33" s="44"/>
      <c r="Z33" s="50">
        <f t="shared" si="3"/>
        <v>2</v>
      </c>
      <c r="AA33" s="44"/>
      <c r="AB33" s="44"/>
      <c r="AC33" s="44"/>
      <c r="AD33" s="44"/>
      <c r="AE33" s="44"/>
      <c r="AF33" s="44"/>
      <c r="AG33" s="47"/>
      <c r="AH33" s="44"/>
      <c r="AI33" s="44"/>
      <c r="AJ33" s="44"/>
      <c r="AK33" s="44"/>
      <c r="AL33" s="44"/>
      <c r="AM33" s="44"/>
      <c r="AN33" s="49">
        <v>1</v>
      </c>
      <c r="AO33" s="44"/>
      <c r="AP33" s="45"/>
      <c r="AQ33" s="44"/>
      <c r="AR33" s="44"/>
      <c r="AS33" s="44"/>
      <c r="AT33" s="44"/>
      <c r="AU33" s="44"/>
      <c r="AV33" s="45"/>
      <c r="AW33" s="44"/>
      <c r="AX33" s="49">
        <v>1</v>
      </c>
      <c r="AY33" s="44"/>
      <c r="AZ33" s="47"/>
      <c r="BA33" s="44"/>
      <c r="BB33" s="44"/>
      <c r="BC33" s="44"/>
    </row>
    <row r="34" spans="1:55" x14ac:dyDescent="0.25">
      <c r="A34">
        <v>13</v>
      </c>
      <c r="B34" s="1" t="str">
        <f>'1'!C26</f>
        <v>B121-97518</v>
      </c>
      <c r="C34" s="48">
        <f>'1'!G26</f>
        <v>1</v>
      </c>
      <c r="D34" s="21"/>
      <c r="E34" s="21"/>
      <c r="F34" s="21"/>
      <c r="G34" s="44"/>
      <c r="H34" s="49">
        <v>1</v>
      </c>
      <c r="I34" s="44"/>
      <c r="J34" s="44"/>
      <c r="K34" s="44"/>
      <c r="L34" s="44"/>
      <c r="M34" s="45"/>
      <c r="N34" s="44"/>
      <c r="O34" s="44"/>
      <c r="P34" s="44"/>
      <c r="Q34" s="49">
        <v>1</v>
      </c>
      <c r="R34" s="45"/>
      <c r="S34" s="44"/>
      <c r="T34" s="44"/>
      <c r="U34" s="44"/>
      <c r="V34" s="44"/>
      <c r="W34" s="45"/>
      <c r="X34" s="44"/>
      <c r="Y34" s="44"/>
      <c r="Z34" s="50">
        <f t="shared" si="3"/>
        <v>2</v>
      </c>
      <c r="AA34" s="44"/>
      <c r="AB34" s="44"/>
      <c r="AC34" s="44"/>
      <c r="AD34" s="44"/>
      <c r="AE34" s="44"/>
      <c r="AF34" s="44"/>
      <c r="AG34" s="47"/>
      <c r="AH34" s="44"/>
      <c r="AI34" s="49">
        <v>1</v>
      </c>
      <c r="AJ34" s="44"/>
      <c r="AK34" s="44"/>
      <c r="AL34" s="44"/>
      <c r="AM34" s="44"/>
      <c r="AN34" s="44"/>
      <c r="AO34" s="44"/>
      <c r="AP34" s="45"/>
      <c r="AQ34" s="44"/>
      <c r="AR34" s="49">
        <v>1</v>
      </c>
      <c r="AS34" s="44"/>
      <c r="AT34" s="44"/>
      <c r="AU34" s="44"/>
      <c r="AV34" s="45"/>
      <c r="AW34" s="44"/>
      <c r="AX34" s="44"/>
      <c r="AY34" s="44"/>
      <c r="AZ34" s="47"/>
      <c r="BA34" s="44"/>
      <c r="BB34" s="44"/>
      <c r="BC34" s="44"/>
    </row>
    <row r="35" spans="1:55" x14ac:dyDescent="0.25">
      <c r="A35">
        <v>14</v>
      </c>
      <c r="B35" s="1" t="str">
        <f>'1'!C27</f>
        <v>B111-97502</v>
      </c>
      <c r="C35" s="48">
        <f>'1'!G27</f>
        <v>1</v>
      </c>
      <c r="D35" s="21"/>
      <c r="E35" s="21"/>
      <c r="F35" s="21"/>
      <c r="G35" s="44"/>
      <c r="H35" s="44"/>
      <c r="I35" s="44"/>
      <c r="J35" s="44"/>
      <c r="K35" s="44"/>
      <c r="L35" s="49">
        <v>1</v>
      </c>
      <c r="M35" s="45"/>
      <c r="N35" s="44"/>
      <c r="O35" s="44"/>
      <c r="P35" s="44"/>
      <c r="Q35" s="44"/>
      <c r="R35" s="45"/>
      <c r="S35" s="44"/>
      <c r="T35" s="44"/>
      <c r="U35" s="44"/>
      <c r="V35" s="49">
        <v>1</v>
      </c>
      <c r="W35" s="45"/>
      <c r="X35" s="44"/>
      <c r="Y35" s="44"/>
      <c r="Z35" s="50">
        <f t="shared" si="3"/>
        <v>2</v>
      </c>
      <c r="AA35" s="44"/>
      <c r="AB35" s="44"/>
      <c r="AC35" s="44"/>
      <c r="AD35" s="44"/>
      <c r="AE35" s="44"/>
      <c r="AF35" s="44"/>
      <c r="AG35" s="47"/>
      <c r="AH35" s="44"/>
      <c r="AI35" s="44"/>
      <c r="AJ35" s="44"/>
      <c r="AK35" s="44"/>
      <c r="AL35" s="44"/>
      <c r="AM35" s="49">
        <v>1</v>
      </c>
      <c r="AN35" s="44"/>
      <c r="AO35" s="44"/>
      <c r="AP35" s="45"/>
      <c r="AQ35" s="44"/>
      <c r="AR35" s="44"/>
      <c r="AS35" s="44"/>
      <c r="AT35" s="44"/>
      <c r="AU35" s="44"/>
      <c r="AV35" s="45"/>
      <c r="AW35" s="49">
        <v>1</v>
      </c>
      <c r="AX35" s="44"/>
      <c r="AY35" s="44"/>
      <c r="AZ35" s="47"/>
      <c r="BA35" s="44"/>
      <c r="BB35" s="44"/>
      <c r="BC35" s="44"/>
    </row>
    <row r="36" spans="1:55" x14ac:dyDescent="0.25">
      <c r="A36">
        <v>15</v>
      </c>
      <c r="B36" s="1" t="str">
        <f>'1'!C28</f>
        <v>B114-97511</v>
      </c>
      <c r="C36" s="48">
        <f>'1'!G28</f>
        <v>1</v>
      </c>
      <c r="D36" s="21"/>
      <c r="E36" s="21"/>
      <c r="F36" s="21"/>
      <c r="G36" s="44"/>
      <c r="H36" s="44"/>
      <c r="I36" s="44"/>
      <c r="J36" s="49">
        <v>1</v>
      </c>
      <c r="K36" s="44"/>
      <c r="L36" s="44"/>
      <c r="M36" s="45"/>
      <c r="N36" s="44"/>
      <c r="O36" s="44"/>
      <c r="P36" s="44"/>
      <c r="Q36" s="44"/>
      <c r="R36" s="45"/>
      <c r="S36" s="44"/>
      <c r="T36" s="49">
        <v>1</v>
      </c>
      <c r="U36" s="44"/>
      <c r="V36" s="44"/>
      <c r="W36" s="45"/>
      <c r="X36" s="44"/>
      <c r="Y36" s="44"/>
      <c r="Z36" s="50">
        <f t="shared" si="3"/>
        <v>2</v>
      </c>
      <c r="AA36" s="44"/>
      <c r="AB36" s="44"/>
      <c r="AC36" s="44"/>
      <c r="AD36" s="44"/>
      <c r="AE36" s="44"/>
      <c r="AF36" s="44"/>
      <c r="AG36" s="47"/>
      <c r="AH36" s="44"/>
      <c r="AI36" s="44"/>
      <c r="AJ36" s="44"/>
      <c r="AK36" s="49">
        <v>1</v>
      </c>
      <c r="AL36" s="44"/>
      <c r="AM36" s="44"/>
      <c r="AN36" s="44"/>
      <c r="AO36" s="44"/>
      <c r="AP36" s="45"/>
      <c r="AQ36" s="44"/>
      <c r="AR36" s="44"/>
      <c r="AS36" s="44"/>
      <c r="AT36" s="49">
        <v>1</v>
      </c>
      <c r="AU36" s="44"/>
      <c r="AV36" s="45"/>
      <c r="AW36" s="44"/>
      <c r="AX36" s="44"/>
      <c r="AY36" s="44"/>
      <c r="AZ36" s="47"/>
      <c r="BA36" s="44"/>
      <c r="BB36" s="44"/>
      <c r="BC36" s="44"/>
    </row>
    <row r="37" spans="1:55" x14ac:dyDescent="0.25">
      <c r="A37">
        <v>16</v>
      </c>
      <c r="B37" s="1" t="str">
        <f>'1'!C29</f>
        <v>B121-97511</v>
      </c>
      <c r="C37" s="48">
        <f>'1'!G29</f>
        <v>1</v>
      </c>
      <c r="D37" s="21"/>
      <c r="E37" s="21"/>
      <c r="F37" s="21"/>
      <c r="G37" s="44"/>
      <c r="H37" s="44"/>
      <c r="I37" s="44"/>
      <c r="J37" s="44"/>
      <c r="K37" s="44"/>
      <c r="L37" s="44"/>
      <c r="M37" s="45"/>
      <c r="N37" s="44"/>
      <c r="O37" s="49">
        <v>1</v>
      </c>
      <c r="P37" s="44"/>
      <c r="Q37" s="44"/>
      <c r="R37" s="45"/>
      <c r="S37" s="44"/>
      <c r="T37" s="44"/>
      <c r="U37" s="44"/>
      <c r="V37" s="44"/>
      <c r="W37" s="45"/>
      <c r="X37" s="44"/>
      <c r="Y37" s="49">
        <v>1</v>
      </c>
      <c r="Z37" s="50">
        <f t="shared" si="3"/>
        <v>2</v>
      </c>
      <c r="AA37" s="44"/>
      <c r="AB37" s="44"/>
      <c r="AC37" s="44"/>
      <c r="AD37" s="44"/>
      <c r="AE37" s="44"/>
      <c r="AF37" s="44"/>
      <c r="AG37" s="47"/>
      <c r="AH37" s="44"/>
      <c r="AI37" s="44"/>
      <c r="AJ37" s="44"/>
      <c r="AK37" s="44"/>
      <c r="AL37" s="44"/>
      <c r="AM37" s="44"/>
      <c r="AN37" s="44"/>
      <c r="AO37" s="49">
        <v>1</v>
      </c>
      <c r="AP37" s="45"/>
      <c r="AQ37" s="44"/>
      <c r="AR37" s="44"/>
      <c r="AS37" s="44"/>
      <c r="AT37" s="44"/>
      <c r="AU37" s="44"/>
      <c r="AV37" s="45"/>
      <c r="AW37" s="44"/>
      <c r="AX37" s="44"/>
      <c r="AY37" s="49">
        <v>1</v>
      </c>
      <c r="AZ37" s="47"/>
      <c r="BA37" s="44"/>
      <c r="BB37" s="44"/>
      <c r="BC37" s="44"/>
    </row>
    <row r="38" spans="1:55" ht="15.75" thickBot="1" x14ac:dyDescent="0.3">
      <c r="B38" s="35"/>
      <c r="C38" s="107" t="s">
        <v>99</v>
      </c>
      <c r="D38" s="108"/>
      <c r="E38" s="108"/>
      <c r="F38" s="109"/>
      <c r="G38" s="59">
        <f>SUM(G22:G37)</f>
        <v>8</v>
      </c>
      <c r="H38" s="59">
        <f t="shared" ref="H38:AY38" si="4">SUM(H22:H37)</f>
        <v>8</v>
      </c>
      <c r="I38" s="59">
        <f t="shared" si="4"/>
        <v>7</v>
      </c>
      <c r="J38" s="59">
        <f t="shared" si="4"/>
        <v>8</v>
      </c>
      <c r="K38" s="59">
        <f t="shared" si="4"/>
        <v>8</v>
      </c>
      <c r="L38" s="59">
        <f t="shared" si="4"/>
        <v>8</v>
      </c>
      <c r="M38" s="59">
        <f t="shared" si="4"/>
        <v>0</v>
      </c>
      <c r="N38" s="59">
        <f t="shared" si="4"/>
        <v>8</v>
      </c>
      <c r="O38" s="59">
        <f t="shared" si="4"/>
        <v>8</v>
      </c>
      <c r="P38" s="59">
        <f t="shared" si="4"/>
        <v>8</v>
      </c>
      <c r="Q38" s="59">
        <f t="shared" si="4"/>
        <v>8</v>
      </c>
      <c r="R38" s="59">
        <f t="shared" si="4"/>
        <v>0</v>
      </c>
      <c r="S38" s="59">
        <f t="shared" si="4"/>
        <v>7</v>
      </c>
      <c r="T38" s="59">
        <f t="shared" si="4"/>
        <v>8</v>
      </c>
      <c r="U38" s="59">
        <f t="shared" si="4"/>
        <v>8</v>
      </c>
      <c r="V38" s="59">
        <f t="shared" si="4"/>
        <v>8</v>
      </c>
      <c r="W38" s="59">
        <f t="shared" si="4"/>
        <v>0</v>
      </c>
      <c r="X38" s="59">
        <f t="shared" si="4"/>
        <v>8</v>
      </c>
      <c r="Y38" s="59">
        <f t="shared" si="4"/>
        <v>8</v>
      </c>
      <c r="Z38" s="59"/>
      <c r="AA38" s="59"/>
      <c r="AB38" s="59"/>
      <c r="AC38" s="59"/>
      <c r="AD38" s="59"/>
      <c r="AE38" s="59"/>
      <c r="AF38" s="59"/>
      <c r="AG38" s="59"/>
      <c r="AH38" s="59">
        <f t="shared" si="4"/>
        <v>8</v>
      </c>
      <c r="AI38" s="59">
        <f t="shared" si="4"/>
        <v>8</v>
      </c>
      <c r="AJ38" s="59">
        <f t="shared" si="4"/>
        <v>7</v>
      </c>
      <c r="AK38" s="59">
        <f t="shared" si="4"/>
        <v>8</v>
      </c>
      <c r="AL38" s="59">
        <f t="shared" si="4"/>
        <v>8</v>
      </c>
      <c r="AM38" s="59">
        <f t="shared" si="4"/>
        <v>8</v>
      </c>
      <c r="AN38" s="59">
        <f t="shared" si="4"/>
        <v>8</v>
      </c>
      <c r="AO38" s="59">
        <f t="shared" si="4"/>
        <v>8</v>
      </c>
      <c r="AP38" s="59">
        <f t="shared" si="4"/>
        <v>0</v>
      </c>
      <c r="AQ38" s="59">
        <f t="shared" si="4"/>
        <v>8</v>
      </c>
      <c r="AR38" s="59">
        <f t="shared" si="4"/>
        <v>8</v>
      </c>
      <c r="AS38" s="59">
        <f t="shared" si="4"/>
        <v>7</v>
      </c>
      <c r="AT38" s="59">
        <f t="shared" si="4"/>
        <v>8</v>
      </c>
      <c r="AU38" s="59">
        <f t="shared" si="4"/>
        <v>8</v>
      </c>
      <c r="AV38" s="59">
        <f t="shared" si="4"/>
        <v>0</v>
      </c>
      <c r="AW38" s="59">
        <f t="shared" si="4"/>
        <v>8</v>
      </c>
      <c r="AX38" s="59">
        <f t="shared" si="4"/>
        <v>8</v>
      </c>
      <c r="AY38" s="59">
        <f t="shared" si="4"/>
        <v>8</v>
      </c>
      <c r="AZ38" s="35"/>
      <c r="BA38" s="35"/>
      <c r="BB38" s="35"/>
      <c r="BC38" s="35"/>
    </row>
    <row r="39" spans="1:55" ht="15.75" thickTop="1" x14ac:dyDescent="0.25">
      <c r="B39" s="1"/>
      <c r="C39" s="1"/>
      <c r="D39" s="21"/>
      <c r="E39" s="21"/>
      <c r="F39" s="52"/>
      <c r="G39" s="81">
        <v>1</v>
      </c>
      <c r="H39" s="79">
        <v>5</v>
      </c>
      <c r="I39" s="79">
        <v>3</v>
      </c>
      <c r="J39" s="79">
        <v>2</v>
      </c>
      <c r="K39" s="79">
        <v>6</v>
      </c>
      <c r="L39" s="79">
        <v>4</v>
      </c>
      <c r="M39" s="84"/>
      <c r="N39" s="81">
        <v>1</v>
      </c>
      <c r="O39" s="79">
        <v>5</v>
      </c>
      <c r="P39" s="79">
        <v>3</v>
      </c>
      <c r="Q39" s="79">
        <v>2</v>
      </c>
      <c r="R39" s="78"/>
      <c r="S39" s="79">
        <v>6</v>
      </c>
      <c r="T39" s="80">
        <v>4</v>
      </c>
      <c r="U39" s="81">
        <v>1</v>
      </c>
      <c r="V39" s="79">
        <v>5</v>
      </c>
      <c r="W39" s="78"/>
      <c r="X39" s="80">
        <v>3</v>
      </c>
      <c r="Y39" s="53" t="s">
        <v>87</v>
      </c>
      <c r="Z39" s="40" t="s">
        <v>87</v>
      </c>
      <c r="AA39" s="21"/>
      <c r="AB39" s="21"/>
      <c r="AC39" s="21"/>
      <c r="AD39" s="21"/>
      <c r="AE39" s="21"/>
      <c r="AF39" s="21"/>
      <c r="AG39" s="74" t="s">
        <v>87</v>
      </c>
      <c r="AH39" s="81">
        <v>2</v>
      </c>
      <c r="AI39" s="79">
        <v>6</v>
      </c>
      <c r="AJ39" s="80">
        <v>4</v>
      </c>
      <c r="AK39" s="81">
        <v>1</v>
      </c>
      <c r="AL39" s="79">
        <v>5</v>
      </c>
      <c r="AM39" s="79">
        <v>3</v>
      </c>
      <c r="AN39" s="79">
        <v>2</v>
      </c>
      <c r="AO39" s="79">
        <v>6</v>
      </c>
      <c r="AP39" s="78"/>
      <c r="AQ39" s="80">
        <v>4</v>
      </c>
      <c r="AR39" s="81">
        <v>1</v>
      </c>
      <c r="AS39" s="79">
        <v>5</v>
      </c>
      <c r="AT39" s="79">
        <v>3</v>
      </c>
      <c r="AU39" s="79">
        <v>2</v>
      </c>
      <c r="AV39" s="78"/>
      <c r="AW39" s="79">
        <v>6</v>
      </c>
      <c r="AX39" s="80">
        <v>4</v>
      </c>
      <c r="AY39" s="75" t="s">
        <v>87</v>
      </c>
      <c r="AZ39" s="42" t="s">
        <v>87</v>
      </c>
      <c r="BA39" s="21"/>
      <c r="BB39" s="21"/>
      <c r="BC39" s="21"/>
    </row>
    <row r="40" spans="1:55" ht="15.75" thickBot="1" x14ac:dyDescent="0.3">
      <c r="B40" s="1" t="s">
        <v>58</v>
      </c>
      <c r="C40" s="1"/>
      <c r="D40" s="21">
        <f>32</f>
        <v>32</v>
      </c>
      <c r="E40" s="21">
        <f>32/5</f>
        <v>6.4</v>
      </c>
      <c r="F40" s="52">
        <v>6</v>
      </c>
      <c r="G40" s="89" t="s">
        <v>85</v>
      </c>
      <c r="H40" s="90"/>
      <c r="I40" s="90"/>
      <c r="J40" s="90"/>
      <c r="K40" s="90"/>
      <c r="L40" s="98"/>
      <c r="M40" s="99"/>
      <c r="N40" s="89" t="s">
        <v>86</v>
      </c>
      <c r="O40" s="90"/>
      <c r="P40" s="90"/>
      <c r="Q40" s="90"/>
      <c r="R40" s="91"/>
      <c r="S40" s="90"/>
      <c r="T40" s="92"/>
      <c r="U40" s="89" t="s">
        <v>92</v>
      </c>
      <c r="V40" s="90"/>
      <c r="W40" s="91"/>
      <c r="X40" s="92"/>
      <c r="Y40" s="53" t="s">
        <v>87</v>
      </c>
      <c r="Z40" s="40" t="s">
        <v>87</v>
      </c>
      <c r="AA40" s="39" t="s">
        <v>87</v>
      </c>
      <c r="AB40" s="39" t="s">
        <v>87</v>
      </c>
      <c r="AC40" s="39" t="s">
        <v>87</v>
      </c>
      <c r="AD40" s="39" t="s">
        <v>87</v>
      </c>
      <c r="AE40" s="39" t="s">
        <v>87</v>
      </c>
      <c r="AF40" s="39" t="s">
        <v>87</v>
      </c>
      <c r="AG40" s="74" t="s">
        <v>87</v>
      </c>
      <c r="AH40" s="89" t="s">
        <v>92</v>
      </c>
      <c r="AI40" s="90"/>
      <c r="AJ40" s="92"/>
      <c r="AK40" s="89" t="s">
        <v>89</v>
      </c>
      <c r="AL40" s="90"/>
      <c r="AM40" s="90"/>
      <c r="AN40" s="90"/>
      <c r="AO40" s="90"/>
      <c r="AP40" s="91"/>
      <c r="AQ40" s="92"/>
      <c r="AR40" s="89" t="s">
        <v>90</v>
      </c>
      <c r="AS40" s="90"/>
      <c r="AT40" s="90"/>
      <c r="AU40" s="90"/>
      <c r="AV40" s="91"/>
      <c r="AW40" s="90"/>
      <c r="AX40" s="92"/>
      <c r="AY40" s="75" t="s">
        <v>87</v>
      </c>
      <c r="AZ40" s="42" t="s">
        <v>87</v>
      </c>
      <c r="BA40" s="39" t="s">
        <v>87</v>
      </c>
      <c r="BB40" s="39" t="s">
        <v>87</v>
      </c>
      <c r="BC40" s="39" t="s">
        <v>87</v>
      </c>
    </row>
    <row r="41" spans="1:55" ht="15.75" thickTop="1" x14ac:dyDescent="0.25">
      <c r="A41">
        <v>1</v>
      </c>
      <c r="B41" s="1" t="str">
        <f>'1'!C30</f>
        <v>61673-BZ020</v>
      </c>
      <c r="C41" s="48">
        <f>'1'!G30</f>
        <v>15</v>
      </c>
      <c r="D41" s="21"/>
      <c r="E41" s="21"/>
      <c r="F41" s="21"/>
      <c r="G41" s="55">
        <v>3</v>
      </c>
      <c r="H41" s="55">
        <v>2</v>
      </c>
      <c r="I41" s="57">
        <v>3</v>
      </c>
      <c r="J41" s="55">
        <v>3</v>
      </c>
      <c r="K41" s="55">
        <v>2</v>
      </c>
      <c r="L41" s="55">
        <v>2</v>
      </c>
      <c r="M41" s="56"/>
      <c r="N41" s="55">
        <v>3</v>
      </c>
      <c r="O41" s="55">
        <v>2</v>
      </c>
      <c r="P41" s="57">
        <v>3</v>
      </c>
      <c r="Q41" s="55">
        <v>3</v>
      </c>
      <c r="R41" s="56"/>
      <c r="S41" s="55">
        <v>2</v>
      </c>
      <c r="T41" s="55">
        <v>2</v>
      </c>
      <c r="U41" s="55">
        <v>3</v>
      </c>
      <c r="V41" s="55">
        <v>2</v>
      </c>
      <c r="W41" s="56"/>
      <c r="X41" s="57">
        <v>3</v>
      </c>
      <c r="Y41" s="46"/>
      <c r="Z41" s="50">
        <f t="shared" ref="Z41:Z43" si="5">SUM(G41:Y41)</f>
        <v>38</v>
      </c>
      <c r="AA41" s="44"/>
      <c r="AB41" s="44"/>
      <c r="AC41" s="44"/>
      <c r="AD41" s="44"/>
      <c r="AE41" s="44"/>
      <c r="AF41" s="44"/>
      <c r="AG41" s="47"/>
      <c r="AH41" s="55">
        <v>3</v>
      </c>
      <c r="AI41" s="55">
        <v>2</v>
      </c>
      <c r="AJ41" s="55">
        <v>2</v>
      </c>
      <c r="AK41" s="55">
        <v>3</v>
      </c>
      <c r="AL41" s="55">
        <v>2</v>
      </c>
      <c r="AM41" s="57">
        <v>3</v>
      </c>
      <c r="AN41" s="55">
        <v>3</v>
      </c>
      <c r="AO41" s="55">
        <v>2</v>
      </c>
      <c r="AP41" s="56"/>
      <c r="AQ41" s="55">
        <v>2</v>
      </c>
      <c r="AR41" s="55">
        <v>3</v>
      </c>
      <c r="AS41" s="55">
        <v>2</v>
      </c>
      <c r="AT41" s="57">
        <v>3</v>
      </c>
      <c r="AU41" s="55">
        <v>3</v>
      </c>
      <c r="AV41" s="56"/>
      <c r="AW41" s="55">
        <v>2</v>
      </c>
      <c r="AX41" s="55">
        <v>2</v>
      </c>
      <c r="AY41" s="47"/>
      <c r="AZ41" s="47"/>
      <c r="BA41" s="44"/>
      <c r="BB41" s="44"/>
      <c r="BC41" s="44"/>
    </row>
    <row r="42" spans="1:55" x14ac:dyDescent="0.25">
      <c r="A42">
        <v>2</v>
      </c>
      <c r="B42" s="1" t="str">
        <f>'1'!C31</f>
        <v>61674-BZ020</v>
      </c>
      <c r="C42" s="48">
        <f>'1'!G31</f>
        <v>15</v>
      </c>
      <c r="D42" s="21"/>
      <c r="E42" s="21"/>
      <c r="F42" s="21"/>
      <c r="G42" s="44">
        <v>2</v>
      </c>
      <c r="H42" s="44">
        <v>3</v>
      </c>
      <c r="I42" s="44">
        <v>2</v>
      </c>
      <c r="J42" s="44">
        <v>2</v>
      </c>
      <c r="K42" s="49">
        <v>3</v>
      </c>
      <c r="L42" s="44">
        <v>3</v>
      </c>
      <c r="M42" s="45"/>
      <c r="N42" s="44">
        <v>2</v>
      </c>
      <c r="O42" s="44">
        <v>3</v>
      </c>
      <c r="P42" s="44">
        <v>2</v>
      </c>
      <c r="Q42" s="44">
        <v>2</v>
      </c>
      <c r="R42" s="45"/>
      <c r="S42" s="49">
        <v>3</v>
      </c>
      <c r="T42" s="44">
        <v>3</v>
      </c>
      <c r="U42" s="44">
        <v>2</v>
      </c>
      <c r="V42" s="44">
        <v>3</v>
      </c>
      <c r="W42" s="45"/>
      <c r="X42" s="44">
        <v>2</v>
      </c>
      <c r="Y42" s="46"/>
      <c r="Z42" s="50">
        <f t="shared" si="5"/>
        <v>37</v>
      </c>
      <c r="AA42" s="44"/>
      <c r="AB42" s="44"/>
      <c r="AC42" s="44"/>
      <c r="AD42" s="44"/>
      <c r="AE42" s="44"/>
      <c r="AF42" s="44"/>
      <c r="AG42" s="47"/>
      <c r="AH42" s="44">
        <v>2</v>
      </c>
      <c r="AI42" s="49">
        <v>3</v>
      </c>
      <c r="AJ42" s="44">
        <v>3</v>
      </c>
      <c r="AK42" s="44">
        <v>2</v>
      </c>
      <c r="AL42" s="44">
        <v>3</v>
      </c>
      <c r="AM42" s="44">
        <v>2</v>
      </c>
      <c r="AN42" s="44">
        <v>2</v>
      </c>
      <c r="AO42" s="49">
        <v>3</v>
      </c>
      <c r="AP42" s="45"/>
      <c r="AQ42" s="44">
        <v>3</v>
      </c>
      <c r="AR42" s="44">
        <v>2</v>
      </c>
      <c r="AS42" s="44">
        <v>3</v>
      </c>
      <c r="AT42" s="44">
        <v>2</v>
      </c>
      <c r="AU42" s="44">
        <v>2</v>
      </c>
      <c r="AV42" s="45"/>
      <c r="AW42" s="49">
        <v>3</v>
      </c>
      <c r="AX42" s="44">
        <v>3</v>
      </c>
      <c r="AY42" s="47"/>
      <c r="AZ42" s="47"/>
      <c r="BA42" s="44"/>
      <c r="BB42" s="44"/>
      <c r="BC42" s="44"/>
    </row>
    <row r="43" spans="1:55" x14ac:dyDescent="0.25">
      <c r="A43">
        <v>3</v>
      </c>
      <c r="B43" s="1" t="str">
        <f>'1'!C32</f>
        <v>67391-KK010</v>
      </c>
      <c r="C43" s="48">
        <f>'1'!G32</f>
        <v>3</v>
      </c>
      <c r="D43" s="21"/>
      <c r="E43" s="21"/>
      <c r="F43" s="21"/>
      <c r="G43" s="44">
        <v>1</v>
      </c>
      <c r="H43" s="44"/>
      <c r="I43" s="49">
        <v>1</v>
      </c>
      <c r="J43" s="44">
        <v>1</v>
      </c>
      <c r="K43" s="44"/>
      <c r="L43" s="44"/>
      <c r="M43" s="45"/>
      <c r="N43" s="44">
        <v>1</v>
      </c>
      <c r="O43" s="44"/>
      <c r="P43" s="49">
        <v>1</v>
      </c>
      <c r="Q43" s="44">
        <v>1</v>
      </c>
      <c r="R43" s="45"/>
      <c r="S43" s="44"/>
      <c r="T43" s="44"/>
      <c r="U43" s="44">
        <v>1</v>
      </c>
      <c r="V43" s="44"/>
      <c r="W43" s="45"/>
      <c r="X43" s="49">
        <v>1</v>
      </c>
      <c r="Y43" s="46"/>
      <c r="Z43" s="50">
        <f t="shared" si="5"/>
        <v>8</v>
      </c>
      <c r="AA43" s="44"/>
      <c r="AB43" s="44"/>
      <c r="AC43" s="44"/>
      <c r="AD43" s="44"/>
      <c r="AE43" s="44"/>
      <c r="AF43" s="44"/>
      <c r="AG43" s="47"/>
      <c r="AH43" s="44">
        <v>1</v>
      </c>
      <c r="AI43" s="44"/>
      <c r="AJ43" s="44"/>
      <c r="AK43" s="44">
        <v>1</v>
      </c>
      <c r="AL43" s="44"/>
      <c r="AM43" s="49">
        <v>1</v>
      </c>
      <c r="AN43" s="44">
        <v>1</v>
      </c>
      <c r="AO43" s="44"/>
      <c r="AP43" s="45"/>
      <c r="AQ43" s="44"/>
      <c r="AR43" s="44">
        <v>1</v>
      </c>
      <c r="AS43" s="44"/>
      <c r="AT43" s="49">
        <v>1</v>
      </c>
      <c r="AU43" s="44">
        <v>1</v>
      </c>
      <c r="AV43" s="45"/>
      <c r="AW43" s="44"/>
      <c r="AX43" s="44"/>
      <c r="AY43" s="47"/>
      <c r="AZ43" s="47"/>
      <c r="BA43" s="44"/>
      <c r="BB43" s="44"/>
      <c r="BC43" s="44"/>
    </row>
    <row r="44" spans="1:55" ht="15.75" thickBot="1" x14ac:dyDescent="0.3">
      <c r="B44" s="35"/>
      <c r="C44" s="107" t="s">
        <v>99</v>
      </c>
      <c r="D44" s="108"/>
      <c r="E44" s="108"/>
      <c r="F44" s="109"/>
      <c r="G44" s="59">
        <f>SUM(G41:G43)</f>
        <v>6</v>
      </c>
      <c r="H44" s="59">
        <f t="shared" ref="H44:AY44" si="6">SUM(H41:H43)</f>
        <v>5</v>
      </c>
      <c r="I44" s="59">
        <f t="shared" si="6"/>
        <v>6</v>
      </c>
      <c r="J44" s="59">
        <f t="shared" si="6"/>
        <v>6</v>
      </c>
      <c r="K44" s="59">
        <f t="shared" si="6"/>
        <v>5</v>
      </c>
      <c r="L44" s="59">
        <f t="shared" si="6"/>
        <v>5</v>
      </c>
      <c r="M44" s="59">
        <f t="shared" si="6"/>
        <v>0</v>
      </c>
      <c r="N44" s="59">
        <f t="shared" si="6"/>
        <v>6</v>
      </c>
      <c r="O44" s="59">
        <f t="shared" si="6"/>
        <v>5</v>
      </c>
      <c r="P44" s="59">
        <f t="shared" si="6"/>
        <v>6</v>
      </c>
      <c r="Q44" s="59">
        <f t="shared" si="6"/>
        <v>6</v>
      </c>
      <c r="R44" s="59">
        <f t="shared" si="6"/>
        <v>0</v>
      </c>
      <c r="S44" s="59">
        <f t="shared" si="6"/>
        <v>5</v>
      </c>
      <c r="T44" s="59">
        <f t="shared" si="6"/>
        <v>5</v>
      </c>
      <c r="U44" s="59">
        <f t="shared" si="6"/>
        <v>6</v>
      </c>
      <c r="V44" s="59">
        <f t="shared" si="6"/>
        <v>5</v>
      </c>
      <c r="W44" s="59">
        <f t="shared" si="6"/>
        <v>0</v>
      </c>
      <c r="X44" s="59">
        <f t="shared" si="6"/>
        <v>6</v>
      </c>
      <c r="Y44" s="59">
        <f t="shared" si="6"/>
        <v>0</v>
      </c>
      <c r="Z44" s="59"/>
      <c r="AA44" s="59"/>
      <c r="AB44" s="59"/>
      <c r="AC44" s="59"/>
      <c r="AD44" s="59"/>
      <c r="AE44" s="59"/>
      <c r="AF44" s="59"/>
      <c r="AG44" s="59"/>
      <c r="AH44" s="59">
        <f t="shared" si="6"/>
        <v>6</v>
      </c>
      <c r="AI44" s="59">
        <f t="shared" si="6"/>
        <v>5</v>
      </c>
      <c r="AJ44" s="59">
        <f t="shared" si="6"/>
        <v>5</v>
      </c>
      <c r="AK44" s="59">
        <f t="shared" si="6"/>
        <v>6</v>
      </c>
      <c r="AL44" s="59">
        <f t="shared" si="6"/>
        <v>5</v>
      </c>
      <c r="AM44" s="59">
        <f t="shared" si="6"/>
        <v>6</v>
      </c>
      <c r="AN44" s="59">
        <f t="shared" si="6"/>
        <v>6</v>
      </c>
      <c r="AO44" s="59">
        <f t="shared" si="6"/>
        <v>5</v>
      </c>
      <c r="AP44" s="59">
        <f t="shared" si="6"/>
        <v>0</v>
      </c>
      <c r="AQ44" s="59">
        <f t="shared" si="6"/>
        <v>5</v>
      </c>
      <c r="AR44" s="59">
        <f t="shared" si="6"/>
        <v>6</v>
      </c>
      <c r="AS44" s="59">
        <f t="shared" si="6"/>
        <v>5</v>
      </c>
      <c r="AT44" s="59">
        <f t="shared" si="6"/>
        <v>6</v>
      </c>
      <c r="AU44" s="59">
        <f t="shared" si="6"/>
        <v>6</v>
      </c>
      <c r="AV44" s="59">
        <f t="shared" si="6"/>
        <v>0</v>
      </c>
      <c r="AW44" s="59">
        <f t="shared" si="6"/>
        <v>5</v>
      </c>
      <c r="AX44" s="59">
        <f t="shared" si="6"/>
        <v>5</v>
      </c>
      <c r="AY44" s="59">
        <f t="shared" si="6"/>
        <v>0</v>
      </c>
      <c r="AZ44" s="35"/>
      <c r="BA44" s="35"/>
      <c r="BB44" s="35"/>
      <c r="BC44" s="35"/>
    </row>
    <row r="45" spans="1:55" ht="15.75" thickTop="1" x14ac:dyDescent="0.25">
      <c r="B45" s="1"/>
      <c r="C45" s="1"/>
      <c r="D45" s="21"/>
      <c r="E45" s="21"/>
      <c r="F45" s="52"/>
      <c r="G45" s="81">
        <v>1</v>
      </c>
      <c r="H45" s="79">
        <v>3</v>
      </c>
      <c r="I45" s="80">
        <v>2</v>
      </c>
      <c r="J45" s="81">
        <v>1</v>
      </c>
      <c r="K45" s="79">
        <v>3</v>
      </c>
      <c r="L45" s="80">
        <v>2</v>
      </c>
      <c r="M45" s="72"/>
      <c r="N45" s="81">
        <v>1</v>
      </c>
      <c r="O45" s="79">
        <v>3</v>
      </c>
      <c r="P45" s="80">
        <v>2</v>
      </c>
      <c r="Q45" s="81">
        <v>1</v>
      </c>
      <c r="R45" s="78"/>
      <c r="S45" s="79">
        <v>3</v>
      </c>
      <c r="T45" s="80">
        <v>2</v>
      </c>
      <c r="U45" s="81">
        <v>1</v>
      </c>
      <c r="V45" s="79">
        <v>3</v>
      </c>
      <c r="W45" s="78"/>
      <c r="X45" s="80">
        <v>2</v>
      </c>
      <c r="Y45" s="53" t="s">
        <v>87</v>
      </c>
      <c r="Z45" s="40" t="s">
        <v>87</v>
      </c>
      <c r="AA45" s="21"/>
      <c r="AB45" s="21"/>
      <c r="AC45" s="21"/>
      <c r="AD45" s="21"/>
      <c r="AE45" s="21"/>
      <c r="AF45" s="21"/>
      <c r="AG45" s="74" t="s">
        <v>87</v>
      </c>
      <c r="AH45" s="71">
        <v>1</v>
      </c>
      <c r="AI45" s="69">
        <v>3</v>
      </c>
      <c r="AJ45" s="70">
        <v>2</v>
      </c>
      <c r="AK45" s="71">
        <v>1</v>
      </c>
      <c r="AL45" s="69">
        <v>3</v>
      </c>
      <c r="AM45" s="70">
        <v>2</v>
      </c>
      <c r="AN45" s="71">
        <v>1</v>
      </c>
      <c r="AO45" s="69">
        <v>3</v>
      </c>
      <c r="AP45" s="58"/>
      <c r="AQ45" s="70">
        <v>2</v>
      </c>
      <c r="AR45" s="71">
        <v>1</v>
      </c>
      <c r="AS45" s="69">
        <v>3</v>
      </c>
      <c r="AT45" s="70">
        <v>2</v>
      </c>
      <c r="AU45" s="71">
        <v>1</v>
      </c>
      <c r="AV45" s="58"/>
      <c r="AW45" s="69">
        <v>3</v>
      </c>
      <c r="AX45" s="70">
        <v>2</v>
      </c>
      <c r="AY45" s="75" t="s">
        <v>87</v>
      </c>
      <c r="AZ45" s="42" t="s">
        <v>87</v>
      </c>
      <c r="BA45" s="21"/>
      <c r="BB45" s="21"/>
      <c r="BC45" s="21"/>
    </row>
    <row r="46" spans="1:55" ht="15.75" thickBot="1" x14ac:dyDescent="0.3">
      <c r="B46" s="1" t="s">
        <v>59</v>
      </c>
      <c r="C46" s="1"/>
      <c r="D46" s="21">
        <f>32</f>
        <v>32</v>
      </c>
      <c r="E46" s="21">
        <f>32/10</f>
        <v>3.2</v>
      </c>
      <c r="F46" s="52">
        <v>3</v>
      </c>
      <c r="G46" s="89" t="s">
        <v>85</v>
      </c>
      <c r="H46" s="90"/>
      <c r="I46" s="92"/>
      <c r="J46" s="89" t="s">
        <v>86</v>
      </c>
      <c r="K46" s="90"/>
      <c r="L46" s="92"/>
      <c r="M46" s="97"/>
      <c r="N46" s="89" t="s">
        <v>88</v>
      </c>
      <c r="O46" s="90"/>
      <c r="P46" s="92"/>
      <c r="Q46" s="89" t="s">
        <v>89</v>
      </c>
      <c r="R46" s="91"/>
      <c r="S46" s="90"/>
      <c r="T46" s="92"/>
      <c r="U46" s="89" t="s">
        <v>90</v>
      </c>
      <c r="V46" s="90"/>
      <c r="W46" s="91"/>
      <c r="X46" s="92"/>
      <c r="Y46" s="53" t="s">
        <v>87</v>
      </c>
      <c r="Z46" s="40" t="s">
        <v>87</v>
      </c>
      <c r="AA46" s="39" t="s">
        <v>87</v>
      </c>
      <c r="AB46" s="39" t="s">
        <v>87</v>
      </c>
      <c r="AC46" s="39" t="s">
        <v>87</v>
      </c>
      <c r="AD46" s="39" t="s">
        <v>87</v>
      </c>
      <c r="AE46" s="39" t="s">
        <v>87</v>
      </c>
      <c r="AF46" s="39" t="s">
        <v>87</v>
      </c>
      <c r="AG46" s="74" t="s">
        <v>87</v>
      </c>
      <c r="AH46" s="93" t="s">
        <v>91</v>
      </c>
      <c r="AI46" s="94"/>
      <c r="AJ46" s="95"/>
      <c r="AK46" s="93" t="s">
        <v>93</v>
      </c>
      <c r="AL46" s="94"/>
      <c r="AM46" s="95"/>
      <c r="AN46" s="93" t="s">
        <v>94</v>
      </c>
      <c r="AO46" s="94"/>
      <c r="AP46" s="96"/>
      <c r="AQ46" s="95"/>
      <c r="AR46" s="93" t="s">
        <v>95</v>
      </c>
      <c r="AS46" s="94"/>
      <c r="AT46" s="95"/>
      <c r="AU46" s="93" t="s">
        <v>96</v>
      </c>
      <c r="AV46" s="96"/>
      <c r="AW46" s="94"/>
      <c r="AX46" s="95"/>
      <c r="AY46" s="75" t="s">
        <v>87</v>
      </c>
      <c r="AZ46" s="42" t="s">
        <v>87</v>
      </c>
      <c r="BA46" s="39" t="s">
        <v>87</v>
      </c>
      <c r="BB46" s="39" t="s">
        <v>87</v>
      </c>
      <c r="BC46" s="39" t="s">
        <v>87</v>
      </c>
    </row>
    <row r="47" spans="1:55" ht="15.75" thickTop="1" x14ac:dyDescent="0.25">
      <c r="A47">
        <v>1</v>
      </c>
      <c r="B47" s="1" t="str">
        <f>'1'!C33</f>
        <v>33146-0K060</v>
      </c>
      <c r="C47" s="48">
        <f>'1'!G33</f>
        <v>1</v>
      </c>
      <c r="D47" s="21"/>
      <c r="E47" s="21"/>
      <c r="F47" s="21"/>
      <c r="G47" s="55"/>
      <c r="H47" s="55">
        <v>1</v>
      </c>
      <c r="I47" s="55"/>
      <c r="J47" s="55"/>
      <c r="K47" s="55"/>
      <c r="L47" s="55">
        <v>1</v>
      </c>
      <c r="M47" s="45"/>
      <c r="N47" s="55"/>
      <c r="O47" s="55">
        <v>1</v>
      </c>
      <c r="P47" s="55"/>
      <c r="Q47" s="55"/>
      <c r="R47" s="56"/>
      <c r="S47" s="55"/>
      <c r="T47" s="55">
        <v>1</v>
      </c>
      <c r="U47" s="55"/>
      <c r="V47" s="55">
        <v>1</v>
      </c>
      <c r="W47" s="56"/>
      <c r="X47" s="55"/>
      <c r="Y47" s="46"/>
      <c r="Z47" s="50">
        <f t="shared" ref="Z47" si="7">SUM(G47:Y47)</f>
        <v>5</v>
      </c>
      <c r="AA47" s="44"/>
      <c r="AB47" s="44"/>
      <c r="AC47" s="44"/>
      <c r="AD47" s="44"/>
      <c r="AE47" s="44"/>
      <c r="AF47" s="44"/>
      <c r="AG47" s="47"/>
      <c r="AH47" s="55"/>
      <c r="AI47" s="55"/>
      <c r="AJ47" s="55">
        <v>1</v>
      </c>
      <c r="AK47" s="55"/>
      <c r="AL47" s="55"/>
      <c r="AM47" s="55">
        <v>1</v>
      </c>
      <c r="AN47" s="55"/>
      <c r="AO47" s="55">
        <v>1</v>
      </c>
      <c r="AP47" s="56"/>
      <c r="AQ47" s="55"/>
      <c r="AR47" s="55"/>
      <c r="AS47" s="55">
        <v>1</v>
      </c>
      <c r="AT47" s="55"/>
      <c r="AU47" s="55"/>
      <c r="AV47" s="56"/>
      <c r="AW47" s="55">
        <v>1</v>
      </c>
      <c r="AX47" s="55"/>
      <c r="AY47" s="47"/>
      <c r="AZ47" s="47"/>
      <c r="BA47" s="44"/>
      <c r="BB47" s="44"/>
      <c r="BC47" s="44"/>
    </row>
    <row r="48" spans="1:55" ht="15.75" thickBot="1" x14ac:dyDescent="0.3">
      <c r="B48" s="35"/>
      <c r="C48" s="107" t="s">
        <v>99</v>
      </c>
      <c r="D48" s="108"/>
      <c r="E48" s="108"/>
      <c r="F48" s="109"/>
      <c r="G48" s="59">
        <f>SUM(G47)</f>
        <v>0</v>
      </c>
      <c r="H48" s="59">
        <f t="shared" ref="H48:AY48" si="8">SUM(H47)</f>
        <v>1</v>
      </c>
      <c r="I48" s="59">
        <f t="shared" si="8"/>
        <v>0</v>
      </c>
      <c r="J48" s="59">
        <f t="shared" si="8"/>
        <v>0</v>
      </c>
      <c r="K48" s="59">
        <f t="shared" si="8"/>
        <v>0</v>
      </c>
      <c r="L48" s="59">
        <f t="shared" si="8"/>
        <v>1</v>
      </c>
      <c r="M48" s="59">
        <f t="shared" si="8"/>
        <v>0</v>
      </c>
      <c r="N48" s="59">
        <f t="shared" si="8"/>
        <v>0</v>
      </c>
      <c r="O48" s="59">
        <f t="shared" si="8"/>
        <v>1</v>
      </c>
      <c r="P48" s="59">
        <f t="shared" si="8"/>
        <v>0</v>
      </c>
      <c r="Q48" s="59">
        <f t="shared" si="8"/>
        <v>0</v>
      </c>
      <c r="R48" s="59">
        <f t="shared" si="8"/>
        <v>0</v>
      </c>
      <c r="S48" s="59">
        <f t="shared" si="8"/>
        <v>0</v>
      </c>
      <c r="T48" s="59">
        <f t="shared" si="8"/>
        <v>1</v>
      </c>
      <c r="U48" s="59">
        <f t="shared" si="8"/>
        <v>0</v>
      </c>
      <c r="V48" s="59">
        <f t="shared" si="8"/>
        <v>1</v>
      </c>
      <c r="W48" s="59">
        <f t="shared" si="8"/>
        <v>0</v>
      </c>
      <c r="X48" s="59">
        <f t="shared" si="8"/>
        <v>0</v>
      </c>
      <c r="Y48" s="59">
        <f t="shared" si="8"/>
        <v>0</v>
      </c>
      <c r="Z48" s="59"/>
      <c r="AA48" s="59"/>
      <c r="AB48" s="59"/>
      <c r="AC48" s="59"/>
      <c r="AD48" s="59"/>
      <c r="AE48" s="59"/>
      <c r="AF48" s="59"/>
      <c r="AG48" s="59"/>
      <c r="AH48" s="59">
        <f t="shared" si="8"/>
        <v>0</v>
      </c>
      <c r="AI48" s="59">
        <f t="shared" si="8"/>
        <v>0</v>
      </c>
      <c r="AJ48" s="59">
        <f t="shared" si="8"/>
        <v>1</v>
      </c>
      <c r="AK48" s="59">
        <f t="shared" si="8"/>
        <v>0</v>
      </c>
      <c r="AL48" s="59">
        <f t="shared" si="8"/>
        <v>0</v>
      </c>
      <c r="AM48" s="59">
        <f t="shared" si="8"/>
        <v>1</v>
      </c>
      <c r="AN48" s="59">
        <f t="shared" si="8"/>
        <v>0</v>
      </c>
      <c r="AO48" s="59">
        <f t="shared" si="8"/>
        <v>1</v>
      </c>
      <c r="AP48" s="59">
        <f t="shared" si="8"/>
        <v>0</v>
      </c>
      <c r="AQ48" s="59">
        <f t="shared" si="8"/>
        <v>0</v>
      </c>
      <c r="AR48" s="59">
        <f t="shared" si="8"/>
        <v>0</v>
      </c>
      <c r="AS48" s="59">
        <f t="shared" si="8"/>
        <v>1</v>
      </c>
      <c r="AT48" s="59">
        <f t="shared" si="8"/>
        <v>0</v>
      </c>
      <c r="AU48" s="59">
        <f t="shared" si="8"/>
        <v>0</v>
      </c>
      <c r="AV48" s="59">
        <f t="shared" si="8"/>
        <v>0</v>
      </c>
      <c r="AW48" s="59">
        <f t="shared" si="8"/>
        <v>1</v>
      </c>
      <c r="AX48" s="59">
        <f t="shared" si="8"/>
        <v>0</v>
      </c>
      <c r="AY48" s="59">
        <f t="shared" si="8"/>
        <v>0</v>
      </c>
      <c r="AZ48" s="35"/>
      <c r="BA48" s="35"/>
      <c r="BB48" s="35"/>
      <c r="BC48" s="35"/>
    </row>
    <row r="49" spans="1:55" ht="15.75" thickTop="1" x14ac:dyDescent="0.25">
      <c r="B49" s="1"/>
      <c r="C49" s="1"/>
      <c r="D49" s="21"/>
      <c r="E49" s="21"/>
      <c r="F49" s="52"/>
      <c r="G49" s="81">
        <v>1</v>
      </c>
      <c r="H49" s="79">
        <v>17</v>
      </c>
      <c r="I49" s="79">
        <v>9</v>
      </c>
      <c r="J49" s="79">
        <v>25</v>
      </c>
      <c r="K49" s="79">
        <v>5</v>
      </c>
      <c r="L49" s="79">
        <v>21</v>
      </c>
      <c r="M49" s="78"/>
      <c r="N49" s="79">
        <v>13</v>
      </c>
      <c r="O49" s="79">
        <v>29</v>
      </c>
      <c r="P49" s="79">
        <v>3</v>
      </c>
      <c r="Q49" s="79">
        <v>19</v>
      </c>
      <c r="R49" s="78"/>
      <c r="S49" s="79">
        <v>11</v>
      </c>
      <c r="T49" s="79">
        <v>27</v>
      </c>
      <c r="U49" s="79">
        <v>7</v>
      </c>
      <c r="V49" s="79">
        <v>23</v>
      </c>
      <c r="W49" s="78"/>
      <c r="X49" s="79">
        <v>15</v>
      </c>
      <c r="Y49" s="80">
        <v>31</v>
      </c>
      <c r="Z49" s="86" t="s">
        <v>87</v>
      </c>
      <c r="AA49" s="21"/>
      <c r="AB49" s="21"/>
      <c r="AC49" s="21"/>
      <c r="AD49" s="21"/>
      <c r="AE49" s="21"/>
      <c r="AF49" s="21"/>
      <c r="AG49" s="85" t="s">
        <v>87</v>
      </c>
      <c r="AH49" s="71">
        <v>2</v>
      </c>
      <c r="AI49" s="69">
        <v>18</v>
      </c>
      <c r="AJ49" s="69">
        <v>10</v>
      </c>
      <c r="AK49" s="69">
        <v>26</v>
      </c>
      <c r="AL49" s="69">
        <v>6</v>
      </c>
      <c r="AM49" s="69">
        <v>22</v>
      </c>
      <c r="AN49" s="69">
        <v>14</v>
      </c>
      <c r="AO49" s="69">
        <v>30</v>
      </c>
      <c r="AP49" s="58"/>
      <c r="AQ49" s="69">
        <v>4</v>
      </c>
      <c r="AR49" s="69">
        <v>20</v>
      </c>
      <c r="AS49" s="69">
        <v>12</v>
      </c>
      <c r="AT49" s="69">
        <v>28</v>
      </c>
      <c r="AU49" s="69">
        <v>8</v>
      </c>
      <c r="AV49" s="58"/>
      <c r="AW49" s="69">
        <v>24</v>
      </c>
      <c r="AX49" s="69">
        <v>16</v>
      </c>
      <c r="AY49" s="70">
        <v>32</v>
      </c>
      <c r="AZ49" s="86" t="s">
        <v>87</v>
      </c>
      <c r="BA49" s="21"/>
      <c r="BB49" s="21"/>
      <c r="BC49" s="21"/>
    </row>
    <row r="50" spans="1:55" ht="15.75" thickBot="1" x14ac:dyDescent="0.3">
      <c r="B50" s="1" t="s">
        <v>57</v>
      </c>
      <c r="C50" s="1"/>
      <c r="D50" s="21">
        <f>32</f>
        <v>32</v>
      </c>
      <c r="E50" s="21">
        <f>32/2</f>
        <v>16</v>
      </c>
      <c r="F50" s="52">
        <f>32/2</f>
        <v>16</v>
      </c>
      <c r="G50" s="89" t="s">
        <v>85</v>
      </c>
      <c r="H50" s="90"/>
      <c r="I50" s="90"/>
      <c r="J50" s="90"/>
      <c r="K50" s="90"/>
      <c r="L50" s="90"/>
      <c r="M50" s="91"/>
      <c r="N50" s="90"/>
      <c r="O50" s="90"/>
      <c r="P50" s="90"/>
      <c r="Q50" s="90"/>
      <c r="R50" s="91"/>
      <c r="S50" s="90"/>
      <c r="T50" s="90"/>
      <c r="U50" s="90"/>
      <c r="V50" s="90"/>
      <c r="W50" s="91"/>
      <c r="X50" s="90"/>
      <c r="Y50" s="92"/>
      <c r="Z50" s="86" t="s">
        <v>87</v>
      </c>
      <c r="AA50" s="21"/>
      <c r="AB50" s="21"/>
      <c r="AC50" s="21"/>
      <c r="AD50" s="21"/>
      <c r="AE50" s="21"/>
      <c r="AF50" s="21"/>
      <c r="AG50" s="85" t="s">
        <v>87</v>
      </c>
      <c r="AH50" s="93" t="s">
        <v>85</v>
      </c>
      <c r="AI50" s="94"/>
      <c r="AJ50" s="94"/>
      <c r="AK50" s="94"/>
      <c r="AL50" s="94"/>
      <c r="AM50" s="94"/>
      <c r="AN50" s="94"/>
      <c r="AO50" s="94"/>
      <c r="AP50" s="96"/>
      <c r="AQ50" s="94"/>
      <c r="AR50" s="94"/>
      <c r="AS50" s="94"/>
      <c r="AT50" s="94"/>
      <c r="AU50" s="94"/>
      <c r="AV50" s="96"/>
      <c r="AW50" s="94"/>
      <c r="AX50" s="94"/>
      <c r="AY50" s="95"/>
      <c r="AZ50" s="87"/>
      <c r="BA50" s="21"/>
      <c r="BB50" s="21"/>
      <c r="BC50" s="21"/>
    </row>
    <row r="51" spans="1:55" ht="15.75" thickTop="1" x14ac:dyDescent="0.25">
      <c r="A51">
        <v>1</v>
      </c>
      <c r="B51" s="1" t="str">
        <f>'1'!C34</f>
        <v>13-10681-A09</v>
      </c>
      <c r="C51" s="48">
        <f>'1'!G34</f>
        <v>16</v>
      </c>
      <c r="D51" s="21"/>
      <c r="E51" s="73"/>
      <c r="F51" s="21"/>
      <c r="G51" s="18">
        <v>1</v>
      </c>
      <c r="H51" s="18"/>
      <c r="I51" s="18">
        <v>1</v>
      </c>
      <c r="J51" s="18"/>
      <c r="K51" s="18">
        <v>1</v>
      </c>
      <c r="L51" s="18"/>
      <c r="M51" s="88"/>
      <c r="N51" s="18">
        <v>1</v>
      </c>
      <c r="O51" s="18"/>
      <c r="P51" s="18">
        <v>1</v>
      </c>
      <c r="Q51" s="18"/>
      <c r="R51" s="88"/>
      <c r="S51" s="18">
        <v>1</v>
      </c>
      <c r="T51" s="18"/>
      <c r="U51" s="18">
        <v>1</v>
      </c>
      <c r="V51" s="18"/>
      <c r="W51" s="88"/>
      <c r="X51" s="18">
        <v>1</v>
      </c>
      <c r="Y51" s="18"/>
      <c r="Z51" s="41"/>
      <c r="AA51" s="21"/>
      <c r="AB51" s="21"/>
      <c r="AC51" s="21"/>
      <c r="AD51" s="21"/>
      <c r="AE51" s="21"/>
      <c r="AF51" s="21"/>
      <c r="AG51" s="41"/>
      <c r="AH51" s="18">
        <v>1</v>
      </c>
      <c r="AI51" s="18"/>
      <c r="AJ51" s="18">
        <v>1</v>
      </c>
      <c r="AK51" s="18"/>
      <c r="AL51" s="18">
        <v>1</v>
      </c>
      <c r="AM51" s="18"/>
      <c r="AN51" s="18">
        <v>1</v>
      </c>
      <c r="AO51" s="18"/>
      <c r="AP51" s="88"/>
      <c r="AQ51" s="18">
        <v>1</v>
      </c>
      <c r="AR51" s="18"/>
      <c r="AS51" s="18">
        <v>1</v>
      </c>
      <c r="AT51" s="18"/>
      <c r="AU51" s="18">
        <v>1</v>
      </c>
      <c r="AV51" s="88"/>
      <c r="AW51" s="18"/>
      <c r="AX51" s="57">
        <v>1</v>
      </c>
      <c r="AY51" s="18"/>
      <c r="AZ51" s="50">
        <f t="shared" ref="AZ51:AZ58" si="9">SUM(G51:AY51)</f>
        <v>16</v>
      </c>
      <c r="BA51" s="21"/>
      <c r="BB51" s="21"/>
      <c r="BC51" s="21"/>
    </row>
    <row r="52" spans="1:55" x14ac:dyDescent="0.25">
      <c r="A52">
        <v>2</v>
      </c>
      <c r="B52" s="1" t="str">
        <f>'1'!C35</f>
        <v>64123-TG2-K000-H1</v>
      </c>
      <c r="C52" s="48">
        <f>'1'!G35</f>
        <v>8</v>
      </c>
      <c r="D52" s="21"/>
      <c r="E52" s="73"/>
      <c r="F52" s="21"/>
      <c r="G52" s="21"/>
      <c r="H52" s="21">
        <v>1</v>
      </c>
      <c r="I52" s="21"/>
      <c r="J52" s="21"/>
      <c r="K52" s="21"/>
      <c r="L52" s="21">
        <v>1</v>
      </c>
      <c r="M52" s="25"/>
      <c r="N52" s="21"/>
      <c r="O52" s="21"/>
      <c r="P52" s="21"/>
      <c r="Q52" s="21">
        <v>1</v>
      </c>
      <c r="R52" s="25"/>
      <c r="S52" s="21"/>
      <c r="T52" s="21"/>
      <c r="U52" s="21"/>
      <c r="V52" s="21">
        <v>1</v>
      </c>
      <c r="W52" s="25"/>
      <c r="X52" s="21"/>
      <c r="Y52" s="21"/>
      <c r="Z52" s="41"/>
      <c r="AA52" s="21"/>
      <c r="AB52" s="21"/>
      <c r="AC52" s="21"/>
      <c r="AD52" s="21"/>
      <c r="AE52" s="21"/>
      <c r="AF52" s="21"/>
      <c r="AG52" s="41"/>
      <c r="AH52" s="21"/>
      <c r="AI52" s="21">
        <v>1</v>
      </c>
      <c r="AJ52" s="21"/>
      <c r="AK52" s="21"/>
      <c r="AL52" s="21"/>
      <c r="AM52" s="21">
        <v>1</v>
      </c>
      <c r="AN52" s="21"/>
      <c r="AO52" s="21"/>
      <c r="AP52" s="25"/>
      <c r="AQ52" s="21"/>
      <c r="AR52" s="21">
        <v>1</v>
      </c>
      <c r="AS52" s="21"/>
      <c r="AT52" s="21"/>
      <c r="AU52" s="21"/>
      <c r="AV52" s="25"/>
      <c r="AW52" s="49">
        <v>1</v>
      </c>
      <c r="AX52" s="21"/>
      <c r="AY52" s="21"/>
      <c r="AZ52" s="50">
        <f t="shared" si="9"/>
        <v>8</v>
      </c>
      <c r="BA52" s="21"/>
      <c r="BB52" s="21"/>
      <c r="BC52" s="21"/>
    </row>
    <row r="53" spans="1:55" x14ac:dyDescent="0.25">
      <c r="A53">
        <v>3</v>
      </c>
      <c r="B53" s="1" t="str">
        <f>'1'!C36</f>
        <v>65325-T86-K000-50</v>
      </c>
      <c r="C53" s="48">
        <f>'1'!G36</f>
        <v>9</v>
      </c>
      <c r="D53" s="21"/>
      <c r="E53" s="73"/>
      <c r="F53" s="21"/>
      <c r="G53" s="49">
        <v>1</v>
      </c>
      <c r="H53" s="21"/>
      <c r="I53" s="21"/>
      <c r="J53" s="21">
        <v>1</v>
      </c>
      <c r="K53" s="21"/>
      <c r="L53" s="21"/>
      <c r="M53" s="25"/>
      <c r="N53" s="21"/>
      <c r="O53" s="21">
        <v>1</v>
      </c>
      <c r="P53" s="21"/>
      <c r="Q53" s="21"/>
      <c r="R53" s="25"/>
      <c r="S53" s="21"/>
      <c r="T53" s="21">
        <v>1</v>
      </c>
      <c r="U53" s="21"/>
      <c r="V53" s="21"/>
      <c r="W53" s="25"/>
      <c r="X53" s="21"/>
      <c r="Y53" s="21">
        <v>1</v>
      </c>
      <c r="Z53" s="41"/>
      <c r="AA53" s="21"/>
      <c r="AB53" s="21"/>
      <c r="AC53" s="21"/>
      <c r="AD53" s="21"/>
      <c r="AE53" s="21"/>
      <c r="AF53" s="21"/>
      <c r="AG53" s="41"/>
      <c r="AH53" s="21"/>
      <c r="AI53" s="21"/>
      <c r="AJ53" s="21"/>
      <c r="AK53" s="21">
        <v>1</v>
      </c>
      <c r="AL53" s="21"/>
      <c r="AM53" s="21"/>
      <c r="AN53" s="21"/>
      <c r="AO53" s="21">
        <v>1</v>
      </c>
      <c r="AP53" s="25"/>
      <c r="AQ53" s="21"/>
      <c r="AR53" s="21"/>
      <c r="AS53" s="21"/>
      <c r="AT53" s="21">
        <v>1</v>
      </c>
      <c r="AU53" s="21"/>
      <c r="AV53" s="25"/>
      <c r="AW53" s="21"/>
      <c r="AX53" s="21"/>
      <c r="AY53" s="21">
        <v>1</v>
      </c>
      <c r="AZ53" s="50">
        <f t="shared" si="9"/>
        <v>9</v>
      </c>
      <c r="BA53" s="21"/>
      <c r="BB53" s="21"/>
      <c r="BC53" s="21"/>
    </row>
    <row r="54" spans="1:55" x14ac:dyDescent="0.25">
      <c r="A54">
        <v>4</v>
      </c>
      <c r="B54" s="1" t="str">
        <f>'1'!C37</f>
        <v>65325-T86-X000-50</v>
      </c>
      <c r="C54" s="48">
        <f>'1'!G37</f>
        <v>9</v>
      </c>
      <c r="D54" s="21"/>
      <c r="E54" s="73"/>
      <c r="F54" s="21"/>
      <c r="G54" s="21"/>
      <c r="H54" s="21"/>
      <c r="I54" s="21">
        <v>1</v>
      </c>
      <c r="J54" s="21"/>
      <c r="K54" s="21">
        <v>1</v>
      </c>
      <c r="L54" s="21"/>
      <c r="M54" s="25"/>
      <c r="N54" s="21"/>
      <c r="O54" s="21"/>
      <c r="P54" s="21">
        <v>1</v>
      </c>
      <c r="Q54" s="21"/>
      <c r="R54" s="25"/>
      <c r="S54" s="21"/>
      <c r="T54" s="21"/>
      <c r="U54" s="21">
        <v>1</v>
      </c>
      <c r="V54" s="21"/>
      <c r="W54" s="25"/>
      <c r="X54" s="21"/>
      <c r="Y54" s="21"/>
      <c r="Z54" s="41"/>
      <c r="AA54" s="21"/>
      <c r="AB54" s="21"/>
      <c r="AC54" s="21"/>
      <c r="AD54" s="21"/>
      <c r="AE54" s="21"/>
      <c r="AF54" s="21"/>
      <c r="AG54" s="41"/>
      <c r="AH54" s="21">
        <v>1</v>
      </c>
      <c r="AI54" s="21"/>
      <c r="AJ54" s="49">
        <v>1</v>
      </c>
      <c r="AK54" s="21"/>
      <c r="AL54" s="21">
        <v>1</v>
      </c>
      <c r="AM54" s="21"/>
      <c r="AN54" s="21"/>
      <c r="AO54" s="21"/>
      <c r="AP54" s="25"/>
      <c r="AQ54" s="21">
        <v>1</v>
      </c>
      <c r="AR54" s="21"/>
      <c r="AS54" s="21"/>
      <c r="AT54" s="21"/>
      <c r="AU54" s="21">
        <v>1</v>
      </c>
      <c r="AV54" s="25"/>
      <c r="AW54" s="21"/>
      <c r="AX54" s="21"/>
      <c r="AY54" s="21"/>
      <c r="AZ54" s="50">
        <f t="shared" si="9"/>
        <v>9</v>
      </c>
      <c r="BA54" s="21"/>
      <c r="BB54" s="21"/>
      <c r="BC54" s="21"/>
    </row>
    <row r="55" spans="1:55" x14ac:dyDescent="0.25">
      <c r="A55">
        <v>5</v>
      </c>
      <c r="B55" s="1" t="str">
        <f>'1'!C38</f>
        <v>61143-T86-X000-50</v>
      </c>
      <c r="C55" s="48">
        <f>'1'!G38</f>
        <v>0</v>
      </c>
      <c r="D55" s="21"/>
      <c r="E55" s="73"/>
      <c r="F55" s="21"/>
      <c r="G55" s="21"/>
      <c r="H55" s="21"/>
      <c r="I55" s="21"/>
      <c r="J55" s="21"/>
      <c r="K55" s="21"/>
      <c r="L55" s="21"/>
      <c r="M55" s="25"/>
      <c r="N55" s="21"/>
      <c r="O55" s="21"/>
      <c r="P55" s="21"/>
      <c r="Q55" s="21"/>
      <c r="R55" s="25"/>
      <c r="S55" s="21"/>
      <c r="T55" s="21"/>
      <c r="U55" s="21"/>
      <c r="V55" s="21"/>
      <c r="W55" s="25"/>
      <c r="X55" s="21"/>
      <c r="Y55" s="21"/>
      <c r="Z55" s="41"/>
      <c r="AA55" s="21"/>
      <c r="AB55" s="21"/>
      <c r="AC55" s="21"/>
      <c r="AD55" s="21"/>
      <c r="AE55" s="21"/>
      <c r="AF55" s="21"/>
      <c r="AG55" s="41"/>
      <c r="AH55" s="21"/>
      <c r="AI55" s="21"/>
      <c r="AJ55" s="21"/>
      <c r="AK55" s="21"/>
      <c r="AL55" s="21"/>
      <c r="AM55" s="21"/>
      <c r="AN55" s="21"/>
      <c r="AO55" s="21"/>
      <c r="AP55" s="25"/>
      <c r="AQ55" s="21"/>
      <c r="AR55" s="21"/>
      <c r="AS55" s="21"/>
      <c r="AT55" s="21"/>
      <c r="AU55" s="21"/>
      <c r="AV55" s="25"/>
      <c r="AW55" s="21"/>
      <c r="AX55" s="21"/>
      <c r="AY55" s="21"/>
      <c r="AZ55" s="50">
        <f t="shared" si="9"/>
        <v>0</v>
      </c>
      <c r="BA55" s="21"/>
      <c r="BB55" s="21"/>
      <c r="BC55" s="21"/>
    </row>
    <row r="56" spans="1:55" x14ac:dyDescent="0.25">
      <c r="A56">
        <v>6</v>
      </c>
      <c r="B56" s="1" t="str">
        <f>'1'!C39</f>
        <v>61143-T86-K000-50</v>
      </c>
      <c r="C56" s="48">
        <f>'1'!G39</f>
        <v>2</v>
      </c>
      <c r="D56" s="21"/>
      <c r="E56" s="73"/>
      <c r="F56" s="21"/>
      <c r="G56" s="21"/>
      <c r="H56" s="21"/>
      <c r="I56" s="21"/>
      <c r="J56" s="21"/>
      <c r="K56" s="21"/>
      <c r="L56" s="21"/>
      <c r="M56" s="25"/>
      <c r="N56" s="21"/>
      <c r="O56" s="21"/>
      <c r="P56" s="21"/>
      <c r="Q56" s="21"/>
      <c r="R56" s="25"/>
      <c r="S56" s="21">
        <v>1</v>
      </c>
      <c r="T56" s="21"/>
      <c r="U56" s="21"/>
      <c r="V56" s="21"/>
      <c r="W56" s="25"/>
      <c r="X56" s="21"/>
      <c r="Y56" s="21"/>
      <c r="Z56" s="41"/>
      <c r="AA56" s="21"/>
      <c r="AB56" s="21"/>
      <c r="AC56" s="21"/>
      <c r="AD56" s="21"/>
      <c r="AE56" s="21"/>
      <c r="AF56" s="21"/>
      <c r="AG56" s="41"/>
      <c r="AH56" s="21"/>
      <c r="AI56" s="21"/>
      <c r="AJ56" s="21"/>
      <c r="AK56" s="21"/>
      <c r="AL56" s="21"/>
      <c r="AM56" s="21"/>
      <c r="AN56" s="21"/>
      <c r="AO56" s="21"/>
      <c r="AP56" s="25"/>
      <c r="AQ56" s="21"/>
      <c r="AR56" s="21"/>
      <c r="AS56" s="49">
        <v>1</v>
      </c>
      <c r="AT56" s="21"/>
      <c r="AU56" s="21"/>
      <c r="AV56" s="25"/>
      <c r="AW56" s="21"/>
      <c r="AX56" s="21"/>
      <c r="AY56" s="21"/>
      <c r="AZ56" s="50">
        <f t="shared" si="9"/>
        <v>2</v>
      </c>
      <c r="BA56" s="21"/>
      <c r="BB56" s="21"/>
      <c r="BC56" s="21"/>
    </row>
    <row r="57" spans="1:55" x14ac:dyDescent="0.25">
      <c r="A57">
        <v>7</v>
      </c>
      <c r="B57" s="1" t="str">
        <f>'1'!C40</f>
        <v>GA241-06980</v>
      </c>
      <c r="C57" s="48">
        <f>'1'!G40</f>
        <v>20</v>
      </c>
      <c r="D57" s="21"/>
      <c r="E57" s="73"/>
      <c r="F57" s="21"/>
      <c r="G57" s="21"/>
      <c r="H57" s="21">
        <v>1</v>
      </c>
      <c r="I57" s="21"/>
      <c r="J57" s="21">
        <v>1</v>
      </c>
      <c r="K57" s="21"/>
      <c r="L57" s="21">
        <v>1</v>
      </c>
      <c r="M57" s="25"/>
      <c r="N57" s="21">
        <v>1</v>
      </c>
      <c r="O57" s="21">
        <v>1</v>
      </c>
      <c r="P57" s="21"/>
      <c r="Q57" s="21">
        <v>1</v>
      </c>
      <c r="R57" s="25"/>
      <c r="S57" s="21"/>
      <c r="T57" s="21">
        <v>1</v>
      </c>
      <c r="U57" s="21"/>
      <c r="V57" s="21">
        <v>1</v>
      </c>
      <c r="W57" s="25"/>
      <c r="X57" s="21">
        <v>1</v>
      </c>
      <c r="Y57" s="21">
        <v>1</v>
      </c>
      <c r="Z57" s="41"/>
      <c r="AA57" s="21"/>
      <c r="AB57" s="21"/>
      <c r="AC57" s="21"/>
      <c r="AD57" s="21"/>
      <c r="AE57" s="21"/>
      <c r="AF57" s="21"/>
      <c r="AG57" s="41"/>
      <c r="AH57" s="21"/>
      <c r="AI57" s="21">
        <v>1</v>
      </c>
      <c r="AJ57" s="21"/>
      <c r="AK57" s="21">
        <v>1</v>
      </c>
      <c r="AL57" s="21"/>
      <c r="AM57" s="21">
        <v>1</v>
      </c>
      <c r="AN57" s="21">
        <v>1</v>
      </c>
      <c r="AO57" s="21">
        <v>1</v>
      </c>
      <c r="AP57" s="25"/>
      <c r="AQ57" s="21"/>
      <c r="AR57" s="21">
        <v>1</v>
      </c>
      <c r="AS57" s="21"/>
      <c r="AT57" s="21">
        <v>1</v>
      </c>
      <c r="AU57" s="21"/>
      <c r="AV57" s="25"/>
      <c r="AW57" s="21">
        <v>1</v>
      </c>
      <c r="AX57" s="21">
        <v>1</v>
      </c>
      <c r="AY57" s="49">
        <v>1</v>
      </c>
      <c r="AZ57" s="50">
        <f t="shared" si="9"/>
        <v>20</v>
      </c>
      <c r="BA57" s="21"/>
      <c r="BB57" s="21"/>
      <c r="BC57" s="21"/>
    </row>
    <row r="58" spans="1:55" x14ac:dyDescent="0.25">
      <c r="A58">
        <v>8</v>
      </c>
      <c r="B58" s="1" t="str">
        <f>'1'!C41</f>
        <v>GA251-24260</v>
      </c>
      <c r="C58" s="48">
        <f>'1'!G41</f>
        <v>7</v>
      </c>
      <c r="D58" s="21"/>
      <c r="E58" s="73"/>
      <c r="F58" s="21"/>
      <c r="G58" s="21">
        <v>1</v>
      </c>
      <c r="H58" s="21"/>
      <c r="I58" s="21"/>
      <c r="J58" s="21"/>
      <c r="K58" s="21">
        <v>1</v>
      </c>
      <c r="L58" s="21"/>
      <c r="M58" s="25"/>
      <c r="N58" s="21"/>
      <c r="O58" s="21"/>
      <c r="P58" s="21">
        <v>1</v>
      </c>
      <c r="Q58" s="21"/>
      <c r="R58" s="25"/>
      <c r="S58" s="21"/>
      <c r="T58" s="21"/>
      <c r="U58" s="49">
        <v>1</v>
      </c>
      <c r="V58" s="21"/>
      <c r="W58" s="25"/>
      <c r="X58" s="21"/>
      <c r="Y58" s="21"/>
      <c r="Z58" s="41"/>
      <c r="AA58" s="21"/>
      <c r="AB58" s="21"/>
      <c r="AC58" s="21"/>
      <c r="AD58" s="21"/>
      <c r="AE58" s="21"/>
      <c r="AF58" s="21"/>
      <c r="AG58" s="41"/>
      <c r="AH58" s="21">
        <v>1</v>
      </c>
      <c r="AI58" s="21"/>
      <c r="AJ58" s="21"/>
      <c r="AK58" s="21"/>
      <c r="AL58" s="21">
        <v>1</v>
      </c>
      <c r="AM58" s="21"/>
      <c r="AN58" s="21"/>
      <c r="AO58" s="21"/>
      <c r="AP58" s="25"/>
      <c r="AQ58" s="21">
        <v>1</v>
      </c>
      <c r="AR58" s="21"/>
      <c r="AS58" s="21"/>
      <c r="AT58" s="21"/>
      <c r="AU58" s="21"/>
      <c r="AV58" s="25"/>
      <c r="AW58" s="21"/>
      <c r="AX58" s="21"/>
      <c r="AY58" s="21"/>
      <c r="AZ58" s="50">
        <f t="shared" si="9"/>
        <v>7</v>
      </c>
      <c r="BA58" s="21"/>
      <c r="BB58" s="21"/>
      <c r="BC58" s="21"/>
    </row>
    <row r="59" spans="1:55" x14ac:dyDescent="0.25">
      <c r="B59" s="35"/>
      <c r="C59" s="107" t="s">
        <v>99</v>
      </c>
      <c r="D59" s="108"/>
      <c r="E59" s="108"/>
      <c r="F59" s="109"/>
      <c r="G59" s="59">
        <f>SUM(G51:G58)</f>
        <v>3</v>
      </c>
      <c r="H59" s="59">
        <f t="shared" ref="H59:AY59" si="10">SUM(H51:H58)</f>
        <v>2</v>
      </c>
      <c r="I59" s="59">
        <f t="shared" si="10"/>
        <v>2</v>
      </c>
      <c r="J59" s="59">
        <f t="shared" si="10"/>
        <v>2</v>
      </c>
      <c r="K59" s="59">
        <f t="shared" si="10"/>
        <v>3</v>
      </c>
      <c r="L59" s="59">
        <f t="shared" si="10"/>
        <v>2</v>
      </c>
      <c r="M59" s="59">
        <f t="shared" si="10"/>
        <v>0</v>
      </c>
      <c r="N59" s="59">
        <f t="shared" si="10"/>
        <v>2</v>
      </c>
      <c r="O59" s="59">
        <f t="shared" si="10"/>
        <v>2</v>
      </c>
      <c r="P59" s="59">
        <f t="shared" si="10"/>
        <v>3</v>
      </c>
      <c r="Q59" s="59">
        <f t="shared" si="10"/>
        <v>2</v>
      </c>
      <c r="R59" s="59">
        <f t="shared" si="10"/>
        <v>0</v>
      </c>
      <c r="S59" s="59">
        <f t="shared" si="10"/>
        <v>2</v>
      </c>
      <c r="T59" s="59">
        <f t="shared" si="10"/>
        <v>2</v>
      </c>
      <c r="U59" s="59">
        <f t="shared" si="10"/>
        <v>3</v>
      </c>
      <c r="V59" s="59">
        <f t="shared" si="10"/>
        <v>2</v>
      </c>
      <c r="W59" s="59">
        <f t="shared" si="10"/>
        <v>0</v>
      </c>
      <c r="X59" s="59">
        <f t="shared" si="10"/>
        <v>2</v>
      </c>
      <c r="Y59" s="59">
        <f t="shared" si="10"/>
        <v>2</v>
      </c>
      <c r="Z59" s="59"/>
      <c r="AA59" s="59"/>
      <c r="AB59" s="59"/>
      <c r="AC59" s="59"/>
      <c r="AD59" s="59"/>
      <c r="AE59" s="59"/>
      <c r="AF59" s="59"/>
      <c r="AG59" s="59"/>
      <c r="AH59" s="59">
        <f t="shared" si="10"/>
        <v>3</v>
      </c>
      <c r="AI59" s="59">
        <f t="shared" si="10"/>
        <v>2</v>
      </c>
      <c r="AJ59" s="59">
        <f t="shared" si="10"/>
        <v>2</v>
      </c>
      <c r="AK59" s="59">
        <f t="shared" si="10"/>
        <v>2</v>
      </c>
      <c r="AL59" s="59">
        <f t="shared" si="10"/>
        <v>3</v>
      </c>
      <c r="AM59" s="59">
        <f t="shared" si="10"/>
        <v>2</v>
      </c>
      <c r="AN59" s="59">
        <f t="shared" si="10"/>
        <v>2</v>
      </c>
      <c r="AO59" s="59">
        <f t="shared" si="10"/>
        <v>2</v>
      </c>
      <c r="AP59" s="59">
        <f t="shared" si="10"/>
        <v>0</v>
      </c>
      <c r="AQ59" s="59">
        <f t="shared" si="10"/>
        <v>3</v>
      </c>
      <c r="AR59" s="59">
        <f t="shared" si="10"/>
        <v>2</v>
      </c>
      <c r="AS59" s="59">
        <f t="shared" si="10"/>
        <v>2</v>
      </c>
      <c r="AT59" s="59">
        <f t="shared" si="10"/>
        <v>2</v>
      </c>
      <c r="AU59" s="59">
        <f t="shared" si="10"/>
        <v>2</v>
      </c>
      <c r="AV59" s="59">
        <f t="shared" si="10"/>
        <v>0</v>
      </c>
      <c r="AW59" s="59">
        <f t="shared" si="10"/>
        <v>2</v>
      </c>
      <c r="AX59" s="59">
        <f t="shared" si="10"/>
        <v>2</v>
      </c>
      <c r="AY59" s="59">
        <f t="shared" si="10"/>
        <v>2</v>
      </c>
      <c r="AZ59" s="35"/>
      <c r="BA59" s="35"/>
      <c r="BB59" s="35"/>
      <c r="BC59" s="35"/>
    </row>
    <row r="60" spans="1:55" x14ac:dyDescent="0.25">
      <c r="B60" s="107" t="s">
        <v>100</v>
      </c>
      <c r="C60" s="108"/>
      <c r="D60" s="108"/>
      <c r="E60" s="108"/>
      <c r="F60" s="109"/>
      <c r="G60" s="110">
        <f>G19+G38+G44+G48+G59</f>
        <v>21</v>
      </c>
      <c r="H60" s="110">
        <f t="shared" ref="H60:AY60" si="11">H19+H38+H44+H48+H59</f>
        <v>20</v>
      </c>
      <c r="I60" s="110">
        <f t="shared" si="11"/>
        <v>19</v>
      </c>
      <c r="J60" s="110">
        <f t="shared" si="11"/>
        <v>19</v>
      </c>
      <c r="K60" s="110">
        <f t="shared" si="11"/>
        <v>20</v>
      </c>
      <c r="L60" s="110">
        <f t="shared" si="11"/>
        <v>19</v>
      </c>
      <c r="M60" s="110">
        <f t="shared" si="11"/>
        <v>0</v>
      </c>
      <c r="N60" s="110">
        <f t="shared" si="11"/>
        <v>20</v>
      </c>
      <c r="O60" s="110">
        <f t="shared" si="11"/>
        <v>19</v>
      </c>
      <c r="P60" s="110">
        <f t="shared" si="11"/>
        <v>21</v>
      </c>
      <c r="Q60" s="110">
        <f t="shared" si="11"/>
        <v>19</v>
      </c>
      <c r="R60" s="110">
        <f t="shared" si="11"/>
        <v>0</v>
      </c>
      <c r="S60" s="110">
        <f t="shared" si="11"/>
        <v>18</v>
      </c>
      <c r="T60" s="110">
        <f t="shared" si="11"/>
        <v>19</v>
      </c>
      <c r="U60" s="110">
        <f t="shared" si="11"/>
        <v>21</v>
      </c>
      <c r="V60" s="110">
        <f t="shared" si="11"/>
        <v>19</v>
      </c>
      <c r="W60" s="110">
        <f t="shared" si="11"/>
        <v>0</v>
      </c>
      <c r="X60" s="110">
        <f t="shared" si="11"/>
        <v>20</v>
      </c>
      <c r="Y60" s="110">
        <f t="shared" si="11"/>
        <v>13</v>
      </c>
      <c r="Z60" s="59"/>
      <c r="AA60" s="59"/>
      <c r="AB60" s="59"/>
      <c r="AC60" s="59"/>
      <c r="AD60" s="59"/>
      <c r="AE60" s="59"/>
      <c r="AF60" s="59"/>
      <c r="AG60" s="59"/>
      <c r="AH60" s="59">
        <f t="shared" si="11"/>
        <v>21</v>
      </c>
      <c r="AI60" s="59">
        <f t="shared" si="11"/>
        <v>19</v>
      </c>
      <c r="AJ60" s="59">
        <f t="shared" si="11"/>
        <v>19</v>
      </c>
      <c r="AK60" s="59">
        <f t="shared" si="11"/>
        <v>19</v>
      </c>
      <c r="AL60" s="59">
        <f t="shared" si="11"/>
        <v>20</v>
      </c>
      <c r="AM60" s="59">
        <f t="shared" si="11"/>
        <v>20</v>
      </c>
      <c r="AN60" s="59">
        <f t="shared" si="11"/>
        <v>20</v>
      </c>
      <c r="AO60" s="59">
        <f t="shared" si="11"/>
        <v>19</v>
      </c>
      <c r="AP60" s="59">
        <f t="shared" si="11"/>
        <v>0</v>
      </c>
      <c r="AQ60" s="59">
        <f t="shared" si="11"/>
        <v>20</v>
      </c>
      <c r="AR60" s="59">
        <f t="shared" si="11"/>
        <v>19</v>
      </c>
      <c r="AS60" s="59">
        <f t="shared" si="11"/>
        <v>19</v>
      </c>
      <c r="AT60" s="59">
        <f t="shared" si="11"/>
        <v>19</v>
      </c>
      <c r="AU60" s="59">
        <f t="shared" si="11"/>
        <v>20</v>
      </c>
      <c r="AV60" s="59">
        <f t="shared" si="11"/>
        <v>0</v>
      </c>
      <c r="AW60" s="59">
        <f t="shared" si="11"/>
        <v>19</v>
      </c>
      <c r="AX60" s="59">
        <f t="shared" si="11"/>
        <v>19</v>
      </c>
      <c r="AY60" s="59">
        <f t="shared" si="11"/>
        <v>13</v>
      </c>
      <c r="AZ60" s="35"/>
      <c r="BA60" s="35"/>
      <c r="BB60" s="35"/>
      <c r="BC60" s="35"/>
    </row>
    <row r="62" spans="1:55" x14ac:dyDescent="0.25">
      <c r="B62" s="38" t="s">
        <v>77</v>
      </c>
      <c r="C62" s="14"/>
    </row>
    <row r="63" spans="1:55" x14ac:dyDescent="0.25">
      <c r="B63" s="16" t="s">
        <v>78</v>
      </c>
      <c r="C63" s="14"/>
      <c r="G63">
        <v>1</v>
      </c>
      <c r="H63">
        <v>9</v>
      </c>
      <c r="I63">
        <v>5</v>
      </c>
      <c r="J63">
        <v>13</v>
      </c>
      <c r="K63">
        <v>3</v>
      </c>
      <c r="L63">
        <v>11</v>
      </c>
      <c r="M63">
        <v>7</v>
      </c>
      <c r="N63">
        <v>15</v>
      </c>
      <c r="O63">
        <v>2</v>
      </c>
      <c r="P63">
        <v>10</v>
      </c>
      <c r="Q63">
        <v>6</v>
      </c>
      <c r="R63">
        <v>14</v>
      </c>
      <c r="S63">
        <v>4</v>
      </c>
      <c r="T63">
        <v>12</v>
      </c>
      <c r="U63">
        <v>8</v>
      </c>
      <c r="V63">
        <v>16</v>
      </c>
    </row>
    <row r="64" spans="1:55" x14ac:dyDescent="0.25">
      <c r="B64" s="15" t="s">
        <v>79</v>
      </c>
      <c r="C64" s="14"/>
    </row>
    <row r="65" spans="2:38" x14ac:dyDescent="0.25">
      <c r="B65" s="16" t="s">
        <v>80</v>
      </c>
      <c r="C65" s="14"/>
    </row>
    <row r="66" spans="2:38" x14ac:dyDescent="0.25">
      <c r="B66" s="17" t="s">
        <v>81</v>
      </c>
      <c r="C66" s="34"/>
    </row>
    <row r="67" spans="2:38" x14ac:dyDescent="0.25">
      <c r="B67" s="18">
        <f>(2*8*60)/30</f>
        <v>32</v>
      </c>
      <c r="C67" s="34"/>
    </row>
    <row r="69" spans="2:38" x14ac:dyDescent="0.25">
      <c r="G69" s="51">
        <v>1</v>
      </c>
      <c r="H69" s="51">
        <v>9</v>
      </c>
      <c r="I69" s="51">
        <v>5</v>
      </c>
      <c r="J69" s="51">
        <v>13</v>
      </c>
      <c r="K69" s="51">
        <v>3</v>
      </c>
      <c r="L69" s="51">
        <v>11</v>
      </c>
      <c r="M69" s="51">
        <v>7</v>
      </c>
      <c r="N69" s="51">
        <v>15</v>
      </c>
      <c r="O69" s="51">
        <v>2</v>
      </c>
      <c r="P69" s="51">
        <v>10</v>
      </c>
      <c r="Q69" s="51">
        <v>6</v>
      </c>
      <c r="R69" s="51">
        <v>14</v>
      </c>
      <c r="S69" s="51">
        <v>4</v>
      </c>
      <c r="T69" s="51">
        <v>12</v>
      </c>
      <c r="U69" s="51">
        <v>8</v>
      </c>
      <c r="V69" s="51">
        <v>16</v>
      </c>
    </row>
    <row r="70" spans="2:38" x14ac:dyDescent="0.25">
      <c r="G70" s="63">
        <v>1</v>
      </c>
      <c r="H70" s="63">
        <v>2</v>
      </c>
      <c r="I70" s="63">
        <v>3</v>
      </c>
      <c r="J70" s="63">
        <v>4</v>
      </c>
      <c r="K70" s="63">
        <v>5</v>
      </c>
      <c r="L70" s="63">
        <v>6</v>
      </c>
      <c r="M70" s="63">
        <v>7</v>
      </c>
      <c r="N70" s="63">
        <v>8</v>
      </c>
      <c r="O70" s="63">
        <v>9</v>
      </c>
      <c r="P70" s="63">
        <v>10</v>
      </c>
      <c r="Q70" s="63">
        <v>11</v>
      </c>
      <c r="R70" s="63">
        <v>12</v>
      </c>
      <c r="S70" s="63">
        <v>13</v>
      </c>
      <c r="T70" s="63">
        <v>14</v>
      </c>
      <c r="U70" s="63">
        <v>15</v>
      </c>
      <c r="V70" s="63">
        <v>16</v>
      </c>
    </row>
    <row r="72" spans="2:38" ht="15.75" thickBot="1" x14ac:dyDescent="0.3">
      <c r="G72" s="51">
        <v>1</v>
      </c>
      <c r="H72" s="51">
        <v>5</v>
      </c>
      <c r="I72" s="51">
        <v>3</v>
      </c>
      <c r="J72" s="51">
        <v>7</v>
      </c>
      <c r="K72" s="51">
        <v>2</v>
      </c>
      <c r="L72" s="51">
        <v>6</v>
      </c>
      <c r="M72" s="51">
        <v>4</v>
      </c>
      <c r="N72" s="51">
        <v>8</v>
      </c>
      <c r="O72" s="51">
        <v>1</v>
      </c>
      <c r="P72" s="51">
        <v>5</v>
      </c>
      <c r="Q72" s="51">
        <v>3</v>
      </c>
      <c r="R72" s="51">
        <v>7</v>
      </c>
      <c r="S72" s="51">
        <v>2</v>
      </c>
      <c r="T72" s="51">
        <v>6</v>
      </c>
      <c r="U72" s="51">
        <v>4</v>
      </c>
      <c r="V72" s="51">
        <v>8</v>
      </c>
    </row>
    <row r="73" spans="2:38" ht="15.75" thickBot="1" x14ac:dyDescent="0.3">
      <c r="G73" s="60">
        <v>1</v>
      </c>
      <c r="H73" s="61">
        <v>2</v>
      </c>
      <c r="I73" s="61">
        <v>3</v>
      </c>
      <c r="J73" s="61">
        <v>4</v>
      </c>
      <c r="K73" s="61">
        <v>5</v>
      </c>
      <c r="L73" s="61">
        <v>6</v>
      </c>
      <c r="M73" s="61">
        <v>7</v>
      </c>
      <c r="N73" s="62">
        <v>8</v>
      </c>
      <c r="O73" s="60">
        <v>1</v>
      </c>
      <c r="P73" s="61">
        <v>2</v>
      </c>
      <c r="Q73" s="61">
        <v>3</v>
      </c>
      <c r="R73" s="61">
        <v>4</v>
      </c>
      <c r="S73" s="61">
        <v>5</v>
      </c>
      <c r="T73" s="61">
        <v>6</v>
      </c>
      <c r="U73" s="61">
        <v>7</v>
      </c>
      <c r="V73" s="62">
        <v>8</v>
      </c>
    </row>
    <row r="75" spans="2:38" x14ac:dyDescent="0.25">
      <c r="G75" s="51">
        <v>1</v>
      </c>
      <c r="H75" s="51">
        <v>5</v>
      </c>
      <c r="I75" s="51">
        <v>3</v>
      </c>
      <c r="J75" s="51">
        <v>2</v>
      </c>
      <c r="K75" s="51">
        <v>6</v>
      </c>
      <c r="L75" s="51">
        <v>4</v>
      </c>
      <c r="M75" s="51">
        <v>1</v>
      </c>
      <c r="N75" s="51">
        <v>5</v>
      </c>
      <c r="O75" s="51">
        <v>3</v>
      </c>
      <c r="P75" s="51">
        <v>2</v>
      </c>
      <c r="Q75" s="51">
        <v>6</v>
      </c>
      <c r="R75" s="51">
        <v>4</v>
      </c>
      <c r="S75" s="51">
        <v>1</v>
      </c>
      <c r="T75" s="51">
        <v>5</v>
      </c>
      <c r="U75" s="51">
        <v>3</v>
      </c>
      <c r="V75" s="51"/>
      <c r="W75" s="51">
        <v>2</v>
      </c>
      <c r="X75" s="51">
        <v>6</v>
      </c>
      <c r="Y75" s="51">
        <v>4</v>
      </c>
      <c r="Z75" s="51">
        <v>1</v>
      </c>
      <c r="AA75" s="51">
        <v>5</v>
      </c>
      <c r="AB75" s="51">
        <v>3</v>
      </c>
      <c r="AC75" s="51">
        <v>2</v>
      </c>
      <c r="AD75" s="51">
        <v>6</v>
      </c>
      <c r="AE75" s="51">
        <v>4</v>
      </c>
      <c r="AF75" s="51">
        <v>1</v>
      </c>
      <c r="AG75" s="51">
        <v>5</v>
      </c>
      <c r="AH75" s="51">
        <v>3</v>
      </c>
      <c r="AI75" s="51">
        <v>2</v>
      </c>
      <c r="AJ75" s="51">
        <v>6</v>
      </c>
      <c r="AK75" s="51">
        <v>4</v>
      </c>
      <c r="AL75" s="64" t="s">
        <v>98</v>
      </c>
    </row>
    <row r="76" spans="2:38" ht="15.75" thickBot="1" x14ac:dyDescent="0.3">
      <c r="G76" s="63">
        <v>1</v>
      </c>
      <c r="H76" s="63">
        <v>2</v>
      </c>
      <c r="I76" s="63">
        <v>3</v>
      </c>
      <c r="J76" s="63">
        <v>4</v>
      </c>
      <c r="K76" s="63">
        <v>5</v>
      </c>
      <c r="L76" s="63">
        <v>6</v>
      </c>
      <c r="M76" s="63">
        <v>7</v>
      </c>
      <c r="N76" s="63">
        <v>8</v>
      </c>
      <c r="O76" s="63">
        <v>9</v>
      </c>
      <c r="P76" s="63">
        <v>10</v>
      </c>
      <c r="Q76" s="63">
        <v>11</v>
      </c>
      <c r="R76" s="63">
        <v>12</v>
      </c>
      <c r="S76" s="63">
        <v>13</v>
      </c>
      <c r="T76" s="63">
        <v>14</v>
      </c>
      <c r="U76" s="63">
        <v>15</v>
      </c>
      <c r="V76" s="63">
        <v>16</v>
      </c>
      <c r="W76" s="63">
        <v>17</v>
      </c>
      <c r="X76" s="63">
        <v>18</v>
      </c>
      <c r="Y76" s="63">
        <v>19</v>
      </c>
      <c r="Z76" s="63">
        <v>20</v>
      </c>
      <c r="AA76" s="63">
        <v>21</v>
      </c>
      <c r="AB76" s="63">
        <v>22</v>
      </c>
      <c r="AC76" s="63">
        <v>23</v>
      </c>
      <c r="AD76" s="63">
        <v>24</v>
      </c>
      <c r="AE76" s="63">
        <v>25</v>
      </c>
      <c r="AF76" s="63">
        <v>26</v>
      </c>
      <c r="AG76" s="63">
        <v>27</v>
      </c>
      <c r="AH76" s="63">
        <v>28</v>
      </c>
      <c r="AI76" s="63">
        <v>29</v>
      </c>
      <c r="AJ76" s="63">
        <v>30</v>
      </c>
      <c r="AK76" s="63">
        <v>31</v>
      </c>
      <c r="AL76" s="63">
        <v>32</v>
      </c>
    </row>
    <row r="77" spans="2:38" ht="15.75" thickBot="1" x14ac:dyDescent="0.3">
      <c r="G77" s="60"/>
      <c r="H77" s="61"/>
      <c r="I77" s="61"/>
      <c r="J77" s="61"/>
      <c r="K77" s="61"/>
      <c r="L77" s="62"/>
      <c r="M77" s="60"/>
      <c r="N77" s="61"/>
      <c r="O77" s="61"/>
      <c r="P77" s="61"/>
      <c r="Q77" s="61"/>
      <c r="R77" s="62"/>
      <c r="S77" s="60"/>
      <c r="T77" s="61"/>
      <c r="U77" s="61"/>
      <c r="V77" s="65"/>
      <c r="W77" s="61"/>
      <c r="X77" s="61"/>
      <c r="Y77" s="62"/>
      <c r="Z77" s="60"/>
      <c r="AA77" s="61"/>
      <c r="AB77" s="61"/>
      <c r="AC77" s="61"/>
      <c r="AD77" s="61"/>
      <c r="AE77" s="62"/>
      <c r="AF77" s="60"/>
      <c r="AG77" s="61"/>
      <c r="AH77" s="61"/>
      <c r="AI77" s="61"/>
      <c r="AJ77" s="61"/>
      <c r="AK77" s="62"/>
      <c r="AL77" s="65"/>
    </row>
    <row r="79" spans="2:38" x14ac:dyDescent="0.25">
      <c r="G79" s="51">
        <v>1</v>
      </c>
      <c r="H79" s="51">
        <v>3</v>
      </c>
      <c r="I79" s="51">
        <v>2</v>
      </c>
      <c r="J79" s="51">
        <v>1</v>
      </c>
      <c r="K79" s="51">
        <v>3</v>
      </c>
      <c r="L79" s="51">
        <v>2</v>
      </c>
      <c r="M79" s="51">
        <v>1</v>
      </c>
      <c r="N79" s="51">
        <v>3</v>
      </c>
      <c r="O79" s="51">
        <v>2</v>
      </c>
      <c r="P79" s="51">
        <v>1</v>
      </c>
      <c r="Q79" s="51">
        <v>3</v>
      </c>
      <c r="R79" s="51">
        <v>2</v>
      </c>
      <c r="S79" s="51">
        <v>1</v>
      </c>
      <c r="T79" s="51">
        <v>3</v>
      </c>
      <c r="U79" s="51">
        <v>2</v>
      </c>
      <c r="W79" s="51">
        <v>1</v>
      </c>
      <c r="X79" s="51">
        <v>3</v>
      </c>
      <c r="Y79" s="51">
        <v>2</v>
      </c>
      <c r="Z79" s="51">
        <v>1</v>
      </c>
      <c r="AA79" s="51">
        <v>3</v>
      </c>
      <c r="AB79" s="51">
        <v>2</v>
      </c>
      <c r="AC79" s="51">
        <v>1</v>
      </c>
      <c r="AD79" s="51">
        <v>3</v>
      </c>
      <c r="AE79" s="51">
        <v>2</v>
      </c>
      <c r="AF79" s="51">
        <v>1</v>
      </c>
      <c r="AG79" s="51">
        <v>3</v>
      </c>
      <c r="AH79" s="51">
        <v>2</v>
      </c>
      <c r="AI79" s="51">
        <v>1</v>
      </c>
      <c r="AJ79" s="51">
        <v>3</v>
      </c>
      <c r="AK79" s="51">
        <v>2</v>
      </c>
    </row>
    <row r="80" spans="2:38" ht="15.75" thickBot="1" x14ac:dyDescent="0.3">
      <c r="C80" s="51">
        <v>1</v>
      </c>
      <c r="D80" s="51">
        <v>3</v>
      </c>
      <c r="E80" s="51">
        <v>2</v>
      </c>
      <c r="G80" s="63">
        <v>1</v>
      </c>
      <c r="H80" s="63">
        <v>2</v>
      </c>
      <c r="I80" s="63">
        <v>3</v>
      </c>
      <c r="J80" s="63">
        <v>4</v>
      </c>
      <c r="K80" s="63">
        <v>5</v>
      </c>
      <c r="L80" s="63">
        <v>6</v>
      </c>
      <c r="M80" s="63">
        <v>7</v>
      </c>
      <c r="N80" s="63">
        <v>8</v>
      </c>
      <c r="O80" s="63">
        <v>9</v>
      </c>
      <c r="P80" s="63">
        <v>10</v>
      </c>
      <c r="Q80" s="63">
        <v>11</v>
      </c>
      <c r="R80" s="63">
        <v>12</v>
      </c>
      <c r="S80" s="63">
        <v>13</v>
      </c>
      <c r="T80" s="63">
        <v>14</v>
      </c>
      <c r="U80" s="63">
        <v>15</v>
      </c>
      <c r="V80" s="63" t="s">
        <v>98</v>
      </c>
      <c r="W80" s="63">
        <v>16</v>
      </c>
      <c r="X80" s="63">
        <v>17</v>
      </c>
      <c r="Y80" s="63">
        <v>18</v>
      </c>
      <c r="Z80" s="63">
        <v>19</v>
      </c>
      <c r="AA80" s="63">
        <v>20</v>
      </c>
      <c r="AB80" s="63">
        <v>21</v>
      </c>
      <c r="AC80" s="63">
        <v>22</v>
      </c>
      <c r="AD80" s="63">
        <v>23</v>
      </c>
      <c r="AE80" s="63">
        <v>24</v>
      </c>
      <c r="AF80" s="63">
        <v>25</v>
      </c>
      <c r="AG80" s="63">
        <v>26</v>
      </c>
      <c r="AH80" s="63">
        <v>27</v>
      </c>
      <c r="AI80" s="63">
        <v>28</v>
      </c>
      <c r="AJ80" s="63">
        <v>29</v>
      </c>
      <c r="AK80" s="63">
        <v>30</v>
      </c>
      <c r="AL80" s="63">
        <v>1</v>
      </c>
    </row>
    <row r="81" spans="7:38" ht="15.75" thickBot="1" x14ac:dyDescent="0.3">
      <c r="G81" s="60">
        <v>1</v>
      </c>
      <c r="H81" s="61"/>
      <c r="I81" s="62"/>
      <c r="J81" s="60">
        <v>1</v>
      </c>
      <c r="K81" s="61"/>
      <c r="L81" s="62"/>
      <c r="M81" s="60">
        <v>3</v>
      </c>
      <c r="N81" s="61"/>
      <c r="O81" s="62"/>
      <c r="P81" s="60">
        <v>4</v>
      </c>
      <c r="Q81" s="61"/>
      <c r="R81" s="62"/>
      <c r="S81" s="60">
        <v>5</v>
      </c>
      <c r="T81" s="61"/>
      <c r="U81" s="62"/>
      <c r="V81" s="61"/>
      <c r="W81" s="60">
        <v>6</v>
      </c>
      <c r="X81" s="61"/>
      <c r="Y81" s="62"/>
      <c r="Z81" s="60">
        <v>7</v>
      </c>
      <c r="AA81" s="61"/>
      <c r="AB81" s="62"/>
      <c r="AC81" s="60">
        <v>8</v>
      </c>
      <c r="AD81" s="61"/>
      <c r="AE81" s="62"/>
      <c r="AF81" s="60">
        <v>9</v>
      </c>
      <c r="AG81" s="61"/>
      <c r="AH81" s="62"/>
      <c r="AI81" s="61">
        <v>10</v>
      </c>
      <c r="AJ81" s="61"/>
      <c r="AK81" s="62"/>
      <c r="AL81" s="65"/>
    </row>
  </sheetData>
  <mergeCells count="7">
    <mergeCell ref="C7:F7"/>
    <mergeCell ref="B60:F60"/>
    <mergeCell ref="C59:F59"/>
    <mergeCell ref="C48:F48"/>
    <mergeCell ref="C44:F44"/>
    <mergeCell ref="C38:F38"/>
    <mergeCell ref="C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1</vt:lpstr>
      <vt:lpstr>Heijunka Tandem 9 ke FG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Sutoro Step</dc:creator>
  <cp:lastModifiedBy>Alvan Falah Taqwa</cp:lastModifiedBy>
  <cp:lastPrinted>2026-09-18T02:53:38Z</cp:lastPrinted>
  <dcterms:created xsi:type="dcterms:W3CDTF">2026-09-18T01:06:15Z</dcterms:created>
  <dcterms:modified xsi:type="dcterms:W3CDTF">2026-09-20T15:39:07Z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4d00ae-06f5-4e01-93f0-cfb2f6e4b353_Enabled">
    <vt:lpwstr>true</vt:lpwstr>
  </property>
  <property fmtid="{D5CDD505-2E9C-101B-9397-08002B2CF9AE}" pid="3" name="MSIP_Label_424d00ae-06f5-4e01-93f0-cfb2f6e4b353_SetDate">
    <vt:lpwstr>2026-09-20T14:01:01Z</vt:lpwstr>
  </property>
  <property fmtid="{D5CDD505-2E9C-101B-9397-08002B2CF9AE}" pid="4" name="MSIP_Label_424d00ae-06f5-4e01-93f0-cfb2f6e4b353_Method">
    <vt:lpwstr>Standard</vt:lpwstr>
  </property>
  <property fmtid="{D5CDD505-2E9C-101B-9397-08002B2CF9AE}" pid="5" name="MSIP_Label_424d00ae-06f5-4e01-93f0-cfb2f6e4b353_Name">
    <vt:lpwstr>Public</vt:lpwstr>
  </property>
  <property fmtid="{D5CDD505-2E9C-101B-9397-08002B2CF9AE}" pid="6" name="MSIP_Label_424d00ae-06f5-4e01-93f0-cfb2f6e4b353_SiteId">
    <vt:lpwstr>47c7b16b-d482-4147-b21a-04936dd89875</vt:lpwstr>
  </property>
  <property fmtid="{D5CDD505-2E9C-101B-9397-08002B2CF9AE}" pid="7" name="MSIP_Label_424d00ae-06f5-4e01-93f0-cfb2f6e4b353_ActionId">
    <vt:lpwstr>36f4f239-dd70-4903-9d4e-4c368dc51741</vt:lpwstr>
  </property>
  <property fmtid="{D5CDD505-2E9C-101B-9397-08002B2CF9AE}" pid="8" name="MSIP_Label_424d00ae-06f5-4e01-93f0-cfb2f6e4b353_ContentBits">
    <vt:lpwstr>0</vt:lpwstr>
  </property>
  <property fmtid="{D5CDD505-2E9C-101B-9397-08002B2CF9AE}" pid="9" name="MSIP_Label_424d00ae-06f5-4e01-93f0-cfb2f6e4b353_Tag">
    <vt:lpwstr>10, 3, 0, 1</vt:lpwstr>
  </property>
</Properties>
</file>